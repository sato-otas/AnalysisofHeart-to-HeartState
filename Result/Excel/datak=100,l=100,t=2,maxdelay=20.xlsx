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o\Documents\GitHub\AnalysisofHeart-to-HeartState\Result\新しいフォルダー\"/>
    </mc:Choice>
  </mc:AlternateContent>
  <xr:revisionPtr revIDLastSave="0" documentId="13_ncr:1_{A3D05683-AA77-4C0B-9646-DCCD822A01E6}" xr6:coauthVersionLast="47" xr6:coauthVersionMax="47" xr10:uidLastSave="{00000000-0000-0000-0000-000000000000}"/>
  <bookViews>
    <workbookView xWindow="-120" yWindow="-120" windowWidth="29040" windowHeight="15720" xr2:uid="{8B31F4EF-459B-4F48-BF29-6D2EA17F9323}"/>
  </bookViews>
  <sheets>
    <sheet name="datak=100,l=100,t=2,maxdelay=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4" i="1" l="1"/>
  <c r="BI33" i="1"/>
  <c r="AY34" i="1"/>
  <c r="AY33" i="1"/>
  <c r="AO34" i="1"/>
  <c r="AO35" i="1" s="1"/>
  <c r="AO36" i="1" s="1"/>
  <c r="AO33" i="1"/>
  <c r="AE34" i="1"/>
  <c r="AE33" i="1"/>
  <c r="BI21" i="1"/>
  <c r="BI22" i="1" s="1"/>
  <c r="BI23" i="1" s="1"/>
  <c r="BI20" i="1"/>
  <c r="BI6" i="1"/>
  <c r="BI7" i="1" s="1"/>
  <c r="BI8" i="1" s="1"/>
  <c r="BI5" i="1"/>
  <c r="AY5" i="1"/>
  <c r="AY6" i="1"/>
  <c r="AY7" i="1" s="1"/>
  <c r="AY8" i="1" s="1"/>
  <c r="AO6" i="1"/>
  <c r="AO5" i="1"/>
  <c r="AO7" i="1"/>
  <c r="AO8" i="1" s="1"/>
  <c r="AE6" i="1"/>
  <c r="AE5" i="1"/>
  <c r="AY21" i="1"/>
  <c r="AY20" i="1"/>
  <c r="AO21" i="1"/>
  <c r="AO20" i="1"/>
  <c r="AE20" i="1"/>
  <c r="AE21" i="1"/>
  <c r="BI35" i="1" l="1"/>
  <c r="BI36" i="1" s="1"/>
  <c r="AY35" i="1"/>
  <c r="AY36" i="1" s="1"/>
  <c r="AE35" i="1"/>
  <c r="AE36" i="1" s="1"/>
  <c r="AE7" i="1"/>
  <c r="AE8" i="1" s="1"/>
  <c r="AY22" i="1"/>
  <c r="AY23" i="1" s="1"/>
  <c r="AO22" i="1"/>
  <c r="AO23" i="1" s="1"/>
  <c r="AE22" i="1"/>
  <c r="AE23" i="1" s="1"/>
</calcChain>
</file>

<file path=xl/sharedStrings.xml><?xml version="1.0" encoding="utf-8"?>
<sst xmlns="http://schemas.openxmlformats.org/spreadsheetml/2006/main" count="81" uniqueCount="27">
  <si>
    <t>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</si>
  <si>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</si>
  <si>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</si>
  <si>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</si>
  <si>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</si>
  <si>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</si>
  <si>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</si>
  <si>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</si>
  <si>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</si>
  <si>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</si>
  <si>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age</t>
  </si>
  <si>
    <t>RtoHd=0</t>
  </si>
  <si>
    <t>RtoHd=5</t>
  </si>
  <si>
    <t>RtoHd=10</t>
  </si>
  <si>
    <t>RtoHd=20</t>
  </si>
  <si>
    <t>RtoHd=Max</t>
  </si>
  <si>
    <t>HtoRd=0</t>
  </si>
  <si>
    <t>HtoRd=5</t>
  </si>
  <si>
    <t>HtoRd=10</t>
  </si>
  <si>
    <t>HtoRd=20</t>
  </si>
  <si>
    <t>HtoRd=Max</t>
  </si>
  <si>
    <t>RtoH entropy VS Q5</t>
    <phoneticPr fontId="18"/>
  </si>
  <si>
    <t>N</t>
    <phoneticPr fontId="18"/>
  </si>
  <si>
    <t>R</t>
    <phoneticPr fontId="18"/>
  </si>
  <si>
    <t>t</t>
    <phoneticPr fontId="18"/>
  </si>
  <si>
    <t>p</t>
    <phoneticPr fontId="18"/>
  </si>
  <si>
    <t>RtoH entropy VS Q6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</si>
</sst>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11" fontId="0" fillId="33" borderId="0" xfId="0" applyNumberFormat="1" applyFill="1">
      <alignment vertical="center"/>
    </xf>
    <xf numFmtId="0" fontId="0" fillId="34" borderId="0" xfId="0" applyFill="1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Q5-TE</a:t>
            </a:r>
            <a:r>
              <a:rPr lang="en-US" altLang="ja-JP" baseline="0"/>
              <a:t> R</a:t>
            </a:r>
            <a:r>
              <a:rPr lang="ja-JP" altLang="en-US" baseline="0"/>
              <a:t>→</a:t>
            </a:r>
            <a:r>
              <a:rPr lang="en-US" altLang="ja-JP" baseline="0"/>
              <a:t>H</a:t>
            </a:r>
            <a:r>
              <a:rPr lang="en-US" altLang="ja-JP"/>
              <a:t> in their 20s-30s</a:t>
            </a:r>
          </a:p>
          <a:p>
            <a:pPr>
              <a:defRPr/>
            </a:pPr>
            <a:r>
              <a:rPr lang="en-US" altLang="ja-JP"/>
              <a:t>k=100,l=100,maxd=20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'datak=100,l=100,t=2,maxdelay=20'!$P$3:$P$15</c:f>
              <c:numCache>
                <c:formatCode>General</c:formatCode>
                <c:ptCount val="13"/>
                <c:pt idx="0">
                  <c:v>4.3793850000000004E-3</c:v>
                </c:pt>
                <c:pt idx="1">
                  <c:v>1.806184E-3</c:v>
                </c:pt>
                <c:pt idx="2">
                  <c:v>2.043624E-3</c:v>
                </c:pt>
                <c:pt idx="3">
                  <c:v>2.2248960000000001E-3</c:v>
                </c:pt>
                <c:pt idx="4">
                  <c:v>2.3748630000000001E-3</c:v>
                </c:pt>
                <c:pt idx="5">
                  <c:v>2.6036169999999999E-3</c:v>
                </c:pt>
                <c:pt idx="6">
                  <c:v>3.190348E-3</c:v>
                </c:pt>
                <c:pt idx="7">
                  <c:v>1.8523979999999999E-3</c:v>
                </c:pt>
                <c:pt idx="8">
                  <c:v>1.2046419999999999E-3</c:v>
                </c:pt>
                <c:pt idx="9">
                  <c:v>4.4229610000000004E-3</c:v>
                </c:pt>
                <c:pt idx="10">
                  <c:v>2.4476929999999999E-3</c:v>
                </c:pt>
                <c:pt idx="11">
                  <c:v>4.7698599999999999E-4</c:v>
                </c:pt>
                <c:pt idx="12">
                  <c:v>5.7701300000000003E-4</c:v>
                </c:pt>
              </c:numCache>
            </c:numRef>
          </c:xVal>
          <c:yVal>
            <c:numRef>
              <c:f>'datak=100,l=100,t=2,maxdelay=20'!$F$3:$F$15</c:f>
              <c:numCache>
                <c:formatCode>General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2</c:v>
                </c:pt>
                <c:pt idx="1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2B-4C01-B418-30533F489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5391"/>
        <c:axId val="154433471"/>
      </c:scatterChart>
      <c:valAx>
        <c:axId val="154435391"/>
        <c:scaling>
          <c:orientation val="minMax"/>
          <c:max val="7.000000000000001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TE</a:t>
                </a:r>
                <a:r>
                  <a:rPr lang="en-US" altLang="ja-JP" baseline="0"/>
                  <a:t> R</a:t>
                </a:r>
                <a:r>
                  <a:rPr lang="ja-JP" altLang="en-US" baseline="0"/>
                  <a:t>→</a:t>
                </a:r>
                <a:r>
                  <a:rPr lang="en-US" altLang="ja-JP" baseline="0"/>
                  <a:t>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3471"/>
        <c:crosses val="autoZero"/>
        <c:crossBetween val="midCat"/>
      </c:valAx>
      <c:valAx>
        <c:axId val="154433471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Score</a:t>
                </a:r>
                <a:r>
                  <a:rPr lang="en-US" altLang="ja-JP" baseline="0"/>
                  <a:t> of Heart-to-Heart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Q5-TE H</a:t>
            </a: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→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 in their 20s-30s</a:t>
            </a:r>
          </a:p>
          <a:p>
            <a:pPr>
              <a:defRPr/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k=100,l=100,maxd=20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'datak=100,l=100,t=2,maxdelay=20'!$U$3:$U$15</c:f>
              <c:numCache>
                <c:formatCode>General</c:formatCode>
                <c:ptCount val="13"/>
                <c:pt idx="0">
                  <c:v>1.394642E-3</c:v>
                </c:pt>
                <c:pt idx="1">
                  <c:v>1.0544930000000001E-3</c:v>
                </c:pt>
                <c:pt idx="2">
                  <c:v>1.733397E-3</c:v>
                </c:pt>
                <c:pt idx="3">
                  <c:v>2.2977700000000002E-3</c:v>
                </c:pt>
                <c:pt idx="4">
                  <c:v>4.7401399999999998E-4</c:v>
                </c:pt>
                <c:pt idx="5">
                  <c:v>1.4214849999999999E-3</c:v>
                </c:pt>
                <c:pt idx="6">
                  <c:v>5.3051499999999996E-4</c:v>
                </c:pt>
                <c:pt idx="7">
                  <c:v>1.9614630000000001E-3</c:v>
                </c:pt>
                <c:pt idx="8">
                  <c:v>1.676105E-3</c:v>
                </c:pt>
                <c:pt idx="9">
                  <c:v>1.868815E-3</c:v>
                </c:pt>
                <c:pt idx="10">
                  <c:v>3.9289090000000004E-3</c:v>
                </c:pt>
                <c:pt idx="11">
                  <c:v>4.6091420000000001E-3</c:v>
                </c:pt>
                <c:pt idx="12">
                  <c:v>3.9814610000000004E-3</c:v>
                </c:pt>
              </c:numCache>
            </c:numRef>
          </c:xVal>
          <c:yVal>
            <c:numRef>
              <c:f>'datak=100,l=100,t=2,maxdelay=20'!$F$3:$F$15</c:f>
              <c:numCache>
                <c:formatCode>General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2</c:v>
                </c:pt>
                <c:pt idx="1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7-4AD6-9281-E0D3A1807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5391"/>
        <c:axId val="154433471"/>
      </c:scatterChart>
      <c:valAx>
        <c:axId val="154435391"/>
        <c:scaling>
          <c:orientation val="minMax"/>
          <c:max val="7.000000000000001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TE</a:t>
                </a:r>
                <a:r>
                  <a:rPr lang="en-US" altLang="ja-JP" baseline="0"/>
                  <a:t> H→R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3471"/>
        <c:crosses val="autoZero"/>
        <c:crossBetween val="midCat"/>
      </c:valAx>
      <c:valAx>
        <c:axId val="154433471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Score</a:t>
                </a:r>
                <a:r>
                  <a:rPr lang="en-US" altLang="ja-JP" baseline="0"/>
                  <a:t> of Heart-to-Heart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Q6-TE</a:t>
            </a:r>
            <a:r>
              <a:rPr lang="en-US" altLang="ja-JP" baseline="0"/>
              <a:t> R</a:t>
            </a:r>
            <a:r>
              <a:rPr lang="ja-JP" altLang="en-US" baseline="0"/>
              <a:t>→</a:t>
            </a:r>
            <a:r>
              <a:rPr lang="en-US" altLang="ja-JP" baseline="0"/>
              <a:t>H</a:t>
            </a:r>
            <a:r>
              <a:rPr lang="en-US" altLang="ja-JP"/>
              <a:t> in their 20s-30s</a:t>
            </a:r>
          </a:p>
          <a:p>
            <a:pPr>
              <a:defRPr/>
            </a:pPr>
            <a:r>
              <a:rPr lang="en-US" altLang="ja-JP"/>
              <a:t>k=100,l=100,maxd=20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'datak=100,l=100,t=2,maxdelay=20'!$P$3:$P$15</c:f>
              <c:numCache>
                <c:formatCode>General</c:formatCode>
                <c:ptCount val="13"/>
                <c:pt idx="0">
                  <c:v>4.3793850000000004E-3</c:v>
                </c:pt>
                <c:pt idx="1">
                  <c:v>1.806184E-3</c:v>
                </c:pt>
                <c:pt idx="2">
                  <c:v>2.043624E-3</c:v>
                </c:pt>
                <c:pt idx="3">
                  <c:v>2.2248960000000001E-3</c:v>
                </c:pt>
                <c:pt idx="4">
                  <c:v>2.3748630000000001E-3</c:v>
                </c:pt>
                <c:pt idx="5">
                  <c:v>2.6036169999999999E-3</c:v>
                </c:pt>
                <c:pt idx="6">
                  <c:v>3.190348E-3</c:v>
                </c:pt>
                <c:pt idx="7">
                  <c:v>1.8523979999999999E-3</c:v>
                </c:pt>
                <c:pt idx="8">
                  <c:v>1.2046419999999999E-3</c:v>
                </c:pt>
                <c:pt idx="9">
                  <c:v>4.4229610000000004E-3</c:v>
                </c:pt>
                <c:pt idx="10">
                  <c:v>2.4476929999999999E-3</c:v>
                </c:pt>
                <c:pt idx="11">
                  <c:v>4.7698599999999999E-4</c:v>
                </c:pt>
                <c:pt idx="12">
                  <c:v>5.7701300000000003E-4</c:v>
                </c:pt>
              </c:numCache>
            </c:numRef>
          </c:xVal>
          <c:yVal>
            <c:numRef>
              <c:f>'datak=100,l=100,t=2,maxdelay=20'!$G$3:$G$15</c:f>
              <c:numCache>
                <c:formatCode>General</c:formatCode>
                <c:ptCount val="13"/>
                <c:pt idx="0">
                  <c:v>3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5</c:v>
                </c:pt>
                <c:pt idx="8">
                  <c:v>7</c:v>
                </c:pt>
                <c:pt idx="9">
                  <c:v>6</c:v>
                </c:pt>
                <c:pt idx="10">
                  <c:v>7</c:v>
                </c:pt>
                <c:pt idx="11">
                  <c:v>3</c:v>
                </c:pt>
                <c:pt idx="12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79-4879-9475-9A49FA3B3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5391"/>
        <c:axId val="154433471"/>
      </c:scatterChart>
      <c:valAx>
        <c:axId val="154435391"/>
        <c:scaling>
          <c:orientation val="minMax"/>
          <c:max val="7.000000000000001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TE</a:t>
                </a:r>
                <a:r>
                  <a:rPr lang="en-US" altLang="ja-JP" baseline="0"/>
                  <a:t> R</a:t>
                </a:r>
                <a:r>
                  <a:rPr lang="ja-JP" altLang="en-US" baseline="0"/>
                  <a:t>→</a:t>
                </a:r>
                <a:r>
                  <a:rPr lang="en-US" altLang="ja-JP" baseline="0"/>
                  <a:t>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3471"/>
        <c:crosses val="autoZero"/>
        <c:crossBetween val="midCat"/>
      </c:valAx>
      <c:valAx>
        <c:axId val="154433471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Score</a:t>
                </a:r>
                <a:r>
                  <a:rPr lang="en-US" altLang="ja-JP" baseline="0"/>
                  <a:t> of Good Mood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Q6-TE H</a:t>
            </a: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→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 in their 20s-30s</a:t>
            </a:r>
          </a:p>
          <a:p>
            <a:pPr>
              <a:defRPr/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k=100,l=100,maxd=20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'datak=100,l=100,t=2,maxdelay=20'!$U$3:$U$15</c:f>
              <c:numCache>
                <c:formatCode>General</c:formatCode>
                <c:ptCount val="13"/>
                <c:pt idx="0">
                  <c:v>1.394642E-3</c:v>
                </c:pt>
                <c:pt idx="1">
                  <c:v>1.0544930000000001E-3</c:v>
                </c:pt>
                <c:pt idx="2">
                  <c:v>1.733397E-3</c:v>
                </c:pt>
                <c:pt idx="3">
                  <c:v>2.2977700000000002E-3</c:v>
                </c:pt>
                <c:pt idx="4">
                  <c:v>4.7401399999999998E-4</c:v>
                </c:pt>
                <c:pt idx="5">
                  <c:v>1.4214849999999999E-3</c:v>
                </c:pt>
                <c:pt idx="6">
                  <c:v>5.3051499999999996E-4</c:v>
                </c:pt>
                <c:pt idx="7">
                  <c:v>1.9614630000000001E-3</c:v>
                </c:pt>
                <c:pt idx="8">
                  <c:v>1.676105E-3</c:v>
                </c:pt>
                <c:pt idx="9">
                  <c:v>1.868815E-3</c:v>
                </c:pt>
                <c:pt idx="10">
                  <c:v>3.9289090000000004E-3</c:v>
                </c:pt>
                <c:pt idx="11">
                  <c:v>4.6091420000000001E-3</c:v>
                </c:pt>
                <c:pt idx="12">
                  <c:v>3.9814610000000004E-3</c:v>
                </c:pt>
              </c:numCache>
            </c:numRef>
          </c:xVal>
          <c:yVal>
            <c:numRef>
              <c:f>'datak=100,l=100,t=2,maxdelay=20'!$G$3:$G$15</c:f>
              <c:numCache>
                <c:formatCode>General</c:formatCode>
                <c:ptCount val="13"/>
                <c:pt idx="0">
                  <c:v>3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5</c:v>
                </c:pt>
                <c:pt idx="8">
                  <c:v>7</c:v>
                </c:pt>
                <c:pt idx="9">
                  <c:v>6</c:v>
                </c:pt>
                <c:pt idx="10">
                  <c:v>7</c:v>
                </c:pt>
                <c:pt idx="11">
                  <c:v>3</c:v>
                </c:pt>
                <c:pt idx="12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14-4F44-8B59-A0AB22A16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5391"/>
        <c:axId val="154433471"/>
      </c:scatterChart>
      <c:valAx>
        <c:axId val="154435391"/>
        <c:scaling>
          <c:orientation val="minMax"/>
          <c:max val="7.000000000000001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TE</a:t>
                </a:r>
                <a:r>
                  <a:rPr lang="en-US" altLang="ja-JP" baseline="0"/>
                  <a:t> H→R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3471"/>
        <c:crosses val="autoZero"/>
        <c:crossBetween val="midCat"/>
      </c:valAx>
      <c:valAx>
        <c:axId val="154433471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Score</a:t>
                </a:r>
                <a:r>
                  <a:rPr lang="en-US" altLang="ja-JP" baseline="0"/>
                  <a:t> of Good Mood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Q5-TE</a:t>
            </a:r>
            <a:r>
              <a:rPr lang="en-US" altLang="ja-JP" baseline="0"/>
              <a:t> R</a:t>
            </a:r>
            <a:r>
              <a:rPr lang="ja-JP" altLang="en-US" baseline="0"/>
              <a:t>→</a:t>
            </a:r>
            <a:r>
              <a:rPr lang="en-US" altLang="ja-JP" baseline="0"/>
              <a:t>H</a:t>
            </a:r>
            <a:r>
              <a:rPr lang="en-US" altLang="ja-JP"/>
              <a:t> in their 50s-80s</a:t>
            </a:r>
          </a:p>
          <a:p>
            <a:pPr>
              <a:defRPr/>
            </a:pPr>
            <a:r>
              <a:rPr lang="en-US" altLang="ja-JP"/>
              <a:t>k=100,l=100,maxd=20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'datak=100,l=100,t=2,maxdelay=20'!$P$24:$P$43</c:f>
              <c:numCache>
                <c:formatCode>General</c:formatCode>
                <c:ptCount val="20"/>
                <c:pt idx="0">
                  <c:v>2.5655529999999999E-3</c:v>
                </c:pt>
                <c:pt idx="1">
                  <c:v>4.1536439999999997E-3</c:v>
                </c:pt>
                <c:pt idx="2">
                  <c:v>4.8289769999999999E-3</c:v>
                </c:pt>
                <c:pt idx="3">
                  <c:v>1.9568260000000001E-3</c:v>
                </c:pt>
                <c:pt idx="4">
                  <c:v>1.246839E-3</c:v>
                </c:pt>
                <c:pt idx="5">
                  <c:v>2.2566219999999998E-3</c:v>
                </c:pt>
                <c:pt idx="6">
                  <c:v>2.8066979999999998E-3</c:v>
                </c:pt>
                <c:pt idx="7">
                  <c:v>2.0608499999999999E-3</c:v>
                </c:pt>
                <c:pt idx="8">
                  <c:v>1.9318549999999999E-3</c:v>
                </c:pt>
                <c:pt idx="9">
                  <c:v>5.3271830000000001E-3</c:v>
                </c:pt>
                <c:pt idx="10">
                  <c:v>4.2356690000000001E-3</c:v>
                </c:pt>
                <c:pt idx="11">
                  <c:v>5.1377080000000004E-3</c:v>
                </c:pt>
                <c:pt idx="12">
                  <c:v>5.1975399999999998E-4</c:v>
                </c:pt>
                <c:pt idx="13">
                  <c:v>3.6163419999999998E-3</c:v>
                </c:pt>
                <c:pt idx="14">
                  <c:v>1.997291E-3</c:v>
                </c:pt>
                <c:pt idx="15">
                  <c:v>2.7853520000000001E-3</c:v>
                </c:pt>
                <c:pt idx="16">
                  <c:v>3.4690120000000001E-3</c:v>
                </c:pt>
                <c:pt idx="17">
                  <c:v>2.6996239999999999E-3</c:v>
                </c:pt>
                <c:pt idx="18">
                  <c:v>3.5695990000000001E-3</c:v>
                </c:pt>
                <c:pt idx="19">
                  <c:v>3.0519549999999999E-3</c:v>
                </c:pt>
              </c:numCache>
            </c:numRef>
          </c:xVal>
          <c:yVal>
            <c:numRef>
              <c:f>'datak=100,l=100,t=2,maxdelay=20'!$F$24:$F$43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6</c:v>
                </c:pt>
                <c:pt idx="11">
                  <c:v>4</c:v>
                </c:pt>
                <c:pt idx="12">
                  <c:v>2</c:v>
                </c:pt>
                <c:pt idx="13">
                  <c:v>6</c:v>
                </c:pt>
                <c:pt idx="14">
                  <c:v>7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F1-4387-A6C0-14A532B57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5391"/>
        <c:axId val="154433471"/>
      </c:scatterChart>
      <c:valAx>
        <c:axId val="154435391"/>
        <c:scaling>
          <c:orientation val="minMax"/>
          <c:max val="7.000000000000001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TE</a:t>
                </a:r>
                <a:r>
                  <a:rPr lang="en-US" altLang="ja-JP" baseline="0"/>
                  <a:t> R</a:t>
                </a:r>
                <a:r>
                  <a:rPr lang="ja-JP" altLang="en-US" baseline="0"/>
                  <a:t>→</a:t>
                </a:r>
                <a:r>
                  <a:rPr lang="en-US" altLang="ja-JP" baseline="0"/>
                  <a:t>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3471"/>
        <c:crosses val="autoZero"/>
        <c:crossBetween val="midCat"/>
      </c:valAx>
      <c:valAx>
        <c:axId val="154433471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Score</a:t>
                </a:r>
                <a:r>
                  <a:rPr lang="en-US" altLang="ja-JP" baseline="0"/>
                  <a:t> of Heart-to-Heart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Q5-TE H</a:t>
            </a: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→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 in their 50s-80s</a:t>
            </a:r>
          </a:p>
          <a:p>
            <a:pPr>
              <a:defRPr/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k=100,l=100,maxd=20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'datak=100,l=100,t=2,maxdelay=20'!$U$24:$U$43</c:f>
              <c:numCache>
                <c:formatCode>General</c:formatCode>
                <c:ptCount val="20"/>
                <c:pt idx="0">
                  <c:v>3.403831E-3</c:v>
                </c:pt>
                <c:pt idx="1">
                  <c:v>1.0131980000000001E-3</c:v>
                </c:pt>
                <c:pt idx="2">
                  <c:v>1.2213059999999999E-3</c:v>
                </c:pt>
                <c:pt idx="3">
                  <c:v>1.72926E-3</c:v>
                </c:pt>
                <c:pt idx="4">
                  <c:v>1.892814E-3</c:v>
                </c:pt>
                <c:pt idx="5">
                  <c:v>4.2559440000000002E-3</c:v>
                </c:pt>
                <c:pt idx="6">
                  <c:v>9.86261E-4</c:v>
                </c:pt>
                <c:pt idx="7">
                  <c:v>1.0614039999999999E-3</c:v>
                </c:pt>
                <c:pt idx="8">
                  <c:v>6.626898E-3</c:v>
                </c:pt>
                <c:pt idx="9">
                  <c:v>2.7940069999999998E-3</c:v>
                </c:pt>
                <c:pt idx="10">
                  <c:v>2.8238619999999999E-3</c:v>
                </c:pt>
                <c:pt idx="11">
                  <c:v>1.5013100000000001E-3</c:v>
                </c:pt>
                <c:pt idx="12">
                  <c:v>3.8011479999999999E-3</c:v>
                </c:pt>
                <c:pt idx="13">
                  <c:v>2.0702279999999999E-3</c:v>
                </c:pt>
                <c:pt idx="14">
                  <c:v>3.195453E-3</c:v>
                </c:pt>
                <c:pt idx="15">
                  <c:v>2.99453E-3</c:v>
                </c:pt>
                <c:pt idx="16">
                  <c:v>8.6436499999999997E-4</c:v>
                </c:pt>
                <c:pt idx="17">
                  <c:v>2.5645170000000001E-3</c:v>
                </c:pt>
                <c:pt idx="18">
                  <c:v>9.9412400000000009E-4</c:v>
                </c:pt>
                <c:pt idx="19">
                  <c:v>2.134248E-3</c:v>
                </c:pt>
              </c:numCache>
            </c:numRef>
          </c:xVal>
          <c:yVal>
            <c:numRef>
              <c:f>'datak=100,l=100,t=2,maxdelay=20'!$F$24:$F$43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6</c:v>
                </c:pt>
                <c:pt idx="11">
                  <c:v>4</c:v>
                </c:pt>
                <c:pt idx="12">
                  <c:v>2</c:v>
                </c:pt>
                <c:pt idx="13">
                  <c:v>6</c:v>
                </c:pt>
                <c:pt idx="14">
                  <c:v>7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44-424A-AAE2-BC15139EB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5391"/>
        <c:axId val="154433471"/>
      </c:scatterChart>
      <c:valAx>
        <c:axId val="154435391"/>
        <c:scaling>
          <c:orientation val="minMax"/>
          <c:max val="7.000000000000001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TE</a:t>
                </a:r>
                <a:r>
                  <a:rPr lang="en-US" altLang="ja-JP" baseline="0"/>
                  <a:t> H→R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3471"/>
        <c:crosses val="autoZero"/>
        <c:crossBetween val="midCat"/>
      </c:valAx>
      <c:valAx>
        <c:axId val="154433471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Score</a:t>
                </a:r>
                <a:r>
                  <a:rPr lang="en-US" altLang="ja-JP" baseline="0"/>
                  <a:t> of Heart-to-Heart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Q6-TE</a:t>
            </a:r>
            <a:r>
              <a:rPr lang="en-US" altLang="ja-JP" baseline="0"/>
              <a:t> R</a:t>
            </a:r>
            <a:r>
              <a:rPr lang="ja-JP" altLang="en-US" baseline="0"/>
              <a:t>→</a:t>
            </a:r>
            <a:r>
              <a:rPr lang="en-US" altLang="ja-JP" baseline="0"/>
              <a:t>H</a:t>
            </a:r>
            <a:r>
              <a:rPr lang="en-US" altLang="ja-JP"/>
              <a:t> in their 50s-80s</a:t>
            </a:r>
          </a:p>
          <a:p>
            <a:pPr>
              <a:defRPr/>
            </a:pPr>
            <a:r>
              <a:rPr lang="en-US" altLang="ja-JP"/>
              <a:t>k=100,l=100,maxd=20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'datak=100,l=100,t=2,maxdelay=20'!$P$24:$P$43</c:f>
              <c:numCache>
                <c:formatCode>General</c:formatCode>
                <c:ptCount val="20"/>
                <c:pt idx="0">
                  <c:v>2.5655529999999999E-3</c:v>
                </c:pt>
                <c:pt idx="1">
                  <c:v>4.1536439999999997E-3</c:v>
                </c:pt>
                <c:pt idx="2">
                  <c:v>4.8289769999999999E-3</c:v>
                </c:pt>
                <c:pt idx="3">
                  <c:v>1.9568260000000001E-3</c:v>
                </c:pt>
                <c:pt idx="4">
                  <c:v>1.246839E-3</c:v>
                </c:pt>
                <c:pt idx="5">
                  <c:v>2.2566219999999998E-3</c:v>
                </c:pt>
                <c:pt idx="6">
                  <c:v>2.8066979999999998E-3</c:v>
                </c:pt>
                <c:pt idx="7">
                  <c:v>2.0608499999999999E-3</c:v>
                </c:pt>
                <c:pt idx="8">
                  <c:v>1.9318549999999999E-3</c:v>
                </c:pt>
                <c:pt idx="9">
                  <c:v>5.3271830000000001E-3</c:v>
                </c:pt>
                <c:pt idx="10">
                  <c:v>4.2356690000000001E-3</c:v>
                </c:pt>
                <c:pt idx="11">
                  <c:v>5.1377080000000004E-3</c:v>
                </c:pt>
                <c:pt idx="12">
                  <c:v>5.1975399999999998E-4</c:v>
                </c:pt>
                <c:pt idx="13">
                  <c:v>3.6163419999999998E-3</c:v>
                </c:pt>
                <c:pt idx="14">
                  <c:v>1.997291E-3</c:v>
                </c:pt>
                <c:pt idx="15">
                  <c:v>2.7853520000000001E-3</c:v>
                </c:pt>
                <c:pt idx="16">
                  <c:v>3.4690120000000001E-3</c:v>
                </c:pt>
                <c:pt idx="17">
                  <c:v>2.6996239999999999E-3</c:v>
                </c:pt>
                <c:pt idx="18">
                  <c:v>3.5695990000000001E-3</c:v>
                </c:pt>
                <c:pt idx="19">
                  <c:v>3.0519549999999999E-3</c:v>
                </c:pt>
              </c:numCache>
            </c:numRef>
          </c:xVal>
          <c:yVal>
            <c:numRef>
              <c:f>'datak=100,l=100,t=2,maxdelay=20'!$G$24:$G$43</c:f>
              <c:numCache>
                <c:formatCode>General</c:formatCode>
                <c:ptCount val="20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7</c:v>
                </c:pt>
                <c:pt idx="10">
                  <c:v>6</c:v>
                </c:pt>
                <c:pt idx="11">
                  <c:v>4</c:v>
                </c:pt>
                <c:pt idx="12">
                  <c:v>2</c:v>
                </c:pt>
                <c:pt idx="13">
                  <c:v>7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6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34-48F5-A0EF-A0948890B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5391"/>
        <c:axId val="154433471"/>
      </c:scatterChart>
      <c:valAx>
        <c:axId val="154435391"/>
        <c:scaling>
          <c:orientation val="minMax"/>
          <c:max val="7.000000000000001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TE</a:t>
                </a:r>
                <a:r>
                  <a:rPr lang="en-US" altLang="ja-JP" baseline="0"/>
                  <a:t> R</a:t>
                </a:r>
                <a:r>
                  <a:rPr lang="ja-JP" altLang="en-US" baseline="0"/>
                  <a:t>→</a:t>
                </a:r>
                <a:r>
                  <a:rPr lang="en-US" altLang="ja-JP" baseline="0"/>
                  <a:t>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3471"/>
        <c:crosses val="autoZero"/>
        <c:crossBetween val="midCat"/>
      </c:valAx>
      <c:valAx>
        <c:axId val="154433471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Score</a:t>
                </a:r>
                <a:r>
                  <a:rPr lang="en-US" altLang="ja-JP" baseline="0"/>
                  <a:t> of Good Mood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Q6-TE H</a:t>
            </a: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→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 in their50s-80s</a:t>
            </a:r>
          </a:p>
          <a:p>
            <a:pPr>
              <a:defRPr/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k=100,l=100,maxd=20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'datak=100,l=100,t=2,maxdelay=20'!$U$24:$U$43</c:f>
              <c:numCache>
                <c:formatCode>General</c:formatCode>
                <c:ptCount val="20"/>
                <c:pt idx="0">
                  <c:v>3.403831E-3</c:v>
                </c:pt>
                <c:pt idx="1">
                  <c:v>1.0131980000000001E-3</c:v>
                </c:pt>
                <c:pt idx="2">
                  <c:v>1.2213059999999999E-3</c:v>
                </c:pt>
                <c:pt idx="3">
                  <c:v>1.72926E-3</c:v>
                </c:pt>
                <c:pt idx="4">
                  <c:v>1.892814E-3</c:v>
                </c:pt>
                <c:pt idx="5">
                  <c:v>4.2559440000000002E-3</c:v>
                </c:pt>
                <c:pt idx="6">
                  <c:v>9.86261E-4</c:v>
                </c:pt>
                <c:pt idx="7">
                  <c:v>1.0614039999999999E-3</c:v>
                </c:pt>
                <c:pt idx="8">
                  <c:v>6.626898E-3</c:v>
                </c:pt>
                <c:pt idx="9">
                  <c:v>2.7940069999999998E-3</c:v>
                </c:pt>
                <c:pt idx="10">
                  <c:v>2.8238619999999999E-3</c:v>
                </c:pt>
                <c:pt idx="11">
                  <c:v>1.5013100000000001E-3</c:v>
                </c:pt>
                <c:pt idx="12">
                  <c:v>3.8011479999999999E-3</c:v>
                </c:pt>
                <c:pt idx="13">
                  <c:v>2.0702279999999999E-3</c:v>
                </c:pt>
                <c:pt idx="14">
                  <c:v>3.195453E-3</c:v>
                </c:pt>
                <c:pt idx="15">
                  <c:v>2.99453E-3</c:v>
                </c:pt>
                <c:pt idx="16">
                  <c:v>8.6436499999999997E-4</c:v>
                </c:pt>
                <c:pt idx="17">
                  <c:v>2.5645170000000001E-3</c:v>
                </c:pt>
                <c:pt idx="18">
                  <c:v>9.9412400000000009E-4</c:v>
                </c:pt>
                <c:pt idx="19">
                  <c:v>2.134248E-3</c:v>
                </c:pt>
              </c:numCache>
            </c:numRef>
          </c:xVal>
          <c:yVal>
            <c:numRef>
              <c:f>'datak=100,l=100,t=2,maxdelay=20'!$G$24:$G$43</c:f>
              <c:numCache>
                <c:formatCode>General</c:formatCode>
                <c:ptCount val="20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7</c:v>
                </c:pt>
                <c:pt idx="10">
                  <c:v>6</c:v>
                </c:pt>
                <c:pt idx="11">
                  <c:v>4</c:v>
                </c:pt>
                <c:pt idx="12">
                  <c:v>2</c:v>
                </c:pt>
                <c:pt idx="13">
                  <c:v>7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6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D6-494A-A91E-2A03E3248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5391"/>
        <c:axId val="154433471"/>
      </c:scatterChart>
      <c:valAx>
        <c:axId val="154435391"/>
        <c:scaling>
          <c:orientation val="minMax"/>
          <c:max val="7.000000000000001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TE</a:t>
                </a:r>
                <a:r>
                  <a:rPr lang="en-US" altLang="ja-JP" baseline="0"/>
                  <a:t> H→R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3471"/>
        <c:crosses val="autoZero"/>
        <c:crossBetween val="midCat"/>
      </c:valAx>
      <c:valAx>
        <c:axId val="154433471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Score</a:t>
                </a:r>
                <a:r>
                  <a:rPr lang="en-US" altLang="ja-JP" baseline="0"/>
                  <a:t> of Good Mood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Q5-TE</a:t>
            </a:r>
            <a:r>
              <a:rPr lang="en-US" altLang="ja-JP" baseline="0"/>
              <a:t> R</a:t>
            </a:r>
            <a:r>
              <a:rPr lang="ja-JP" altLang="en-US" baseline="0"/>
              <a:t>→</a:t>
            </a:r>
            <a:r>
              <a:rPr lang="en-US" altLang="ja-JP" baseline="0"/>
              <a:t>H</a:t>
            </a:r>
            <a:r>
              <a:rPr lang="en-US" altLang="ja-JP"/>
              <a:t> in their allage</a:t>
            </a:r>
          </a:p>
          <a:p>
            <a:pPr>
              <a:defRPr/>
            </a:pPr>
            <a:r>
              <a:rPr lang="en-US" altLang="ja-JP"/>
              <a:t>k=100,l=100,maxd=20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'datak=100,l=100,t=2,maxdelay=20'!$P$2:$P$43</c:f>
              <c:numCache>
                <c:formatCode>General</c:formatCode>
                <c:ptCount val="42"/>
                <c:pt idx="0">
                  <c:v>1.9215669999999999E-3</c:v>
                </c:pt>
                <c:pt idx="1">
                  <c:v>4.3793850000000004E-3</c:v>
                </c:pt>
                <c:pt idx="2">
                  <c:v>1.806184E-3</c:v>
                </c:pt>
                <c:pt idx="3">
                  <c:v>2.043624E-3</c:v>
                </c:pt>
                <c:pt idx="4">
                  <c:v>2.2248960000000001E-3</c:v>
                </c:pt>
                <c:pt idx="5">
                  <c:v>2.3748630000000001E-3</c:v>
                </c:pt>
                <c:pt idx="6">
                  <c:v>2.6036169999999999E-3</c:v>
                </c:pt>
                <c:pt idx="7">
                  <c:v>3.190348E-3</c:v>
                </c:pt>
                <c:pt idx="8">
                  <c:v>1.8523979999999999E-3</c:v>
                </c:pt>
                <c:pt idx="9">
                  <c:v>1.2046419999999999E-3</c:v>
                </c:pt>
                <c:pt idx="10">
                  <c:v>4.4229610000000004E-3</c:v>
                </c:pt>
                <c:pt idx="11">
                  <c:v>2.4476929999999999E-3</c:v>
                </c:pt>
                <c:pt idx="12">
                  <c:v>4.7698599999999999E-4</c:v>
                </c:pt>
                <c:pt idx="13">
                  <c:v>5.7701300000000003E-4</c:v>
                </c:pt>
                <c:pt idx="14">
                  <c:v>3.599489E-3</c:v>
                </c:pt>
                <c:pt idx="15">
                  <c:v>2.7791500000000002E-3</c:v>
                </c:pt>
                <c:pt idx="16">
                  <c:v>2.0410099999999998E-3</c:v>
                </c:pt>
                <c:pt idx="17">
                  <c:v>3.0357439999999999E-3</c:v>
                </c:pt>
                <c:pt idx="18">
                  <c:v>4.3734749999999999E-3</c:v>
                </c:pt>
                <c:pt idx="19">
                  <c:v>4.2651190000000004E-3</c:v>
                </c:pt>
                <c:pt idx="20">
                  <c:v>1.3987369999999999E-3</c:v>
                </c:pt>
                <c:pt idx="21">
                  <c:v>2.4452290000000002E-3</c:v>
                </c:pt>
                <c:pt idx="22">
                  <c:v>2.5655529999999999E-3</c:v>
                </c:pt>
                <c:pt idx="23">
                  <c:v>4.1536439999999997E-3</c:v>
                </c:pt>
                <c:pt idx="24">
                  <c:v>4.8289769999999999E-3</c:v>
                </c:pt>
                <c:pt idx="25">
                  <c:v>1.9568260000000001E-3</c:v>
                </c:pt>
                <c:pt idx="26">
                  <c:v>1.246839E-3</c:v>
                </c:pt>
                <c:pt idx="27">
                  <c:v>2.2566219999999998E-3</c:v>
                </c:pt>
                <c:pt idx="28">
                  <c:v>2.8066979999999998E-3</c:v>
                </c:pt>
                <c:pt idx="29">
                  <c:v>2.0608499999999999E-3</c:v>
                </c:pt>
                <c:pt idx="30">
                  <c:v>1.9318549999999999E-3</c:v>
                </c:pt>
                <c:pt idx="31">
                  <c:v>5.3271830000000001E-3</c:v>
                </c:pt>
                <c:pt idx="32">
                  <c:v>4.2356690000000001E-3</c:v>
                </c:pt>
                <c:pt idx="33">
                  <c:v>5.1377080000000004E-3</c:v>
                </c:pt>
                <c:pt idx="34">
                  <c:v>5.1975399999999998E-4</c:v>
                </c:pt>
                <c:pt idx="35">
                  <c:v>3.6163419999999998E-3</c:v>
                </c:pt>
                <c:pt idx="36">
                  <c:v>1.997291E-3</c:v>
                </c:pt>
                <c:pt idx="37">
                  <c:v>2.7853520000000001E-3</c:v>
                </c:pt>
                <c:pt idx="38">
                  <c:v>3.4690120000000001E-3</c:v>
                </c:pt>
                <c:pt idx="39">
                  <c:v>2.6996239999999999E-3</c:v>
                </c:pt>
                <c:pt idx="40">
                  <c:v>3.5695990000000001E-3</c:v>
                </c:pt>
                <c:pt idx="41">
                  <c:v>3.0519549999999999E-3</c:v>
                </c:pt>
              </c:numCache>
            </c:numRef>
          </c:xVal>
          <c:yVal>
            <c:numRef>
              <c:f>'datak=100,l=100,t=2,maxdelay=20'!$F$2:$F$43</c:f>
              <c:numCache>
                <c:formatCode>General</c:formatCode>
                <c:ptCount val="42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7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5</c:v>
                </c:pt>
                <c:pt idx="16">
                  <c:v>6</c:v>
                </c:pt>
                <c:pt idx="17">
                  <c:v>3</c:v>
                </c:pt>
                <c:pt idx="18">
                  <c:v>7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6</c:v>
                </c:pt>
                <c:pt idx="26">
                  <c:v>3</c:v>
                </c:pt>
                <c:pt idx="27">
                  <c:v>5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7</c:v>
                </c:pt>
                <c:pt idx="32">
                  <c:v>6</c:v>
                </c:pt>
                <c:pt idx="33">
                  <c:v>4</c:v>
                </c:pt>
                <c:pt idx="34">
                  <c:v>2</c:v>
                </c:pt>
                <c:pt idx="35">
                  <c:v>6</c:v>
                </c:pt>
                <c:pt idx="36">
                  <c:v>7</c:v>
                </c:pt>
                <c:pt idx="37">
                  <c:v>4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B7-4D87-B017-0446DE174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5391"/>
        <c:axId val="154433471"/>
      </c:scatterChart>
      <c:valAx>
        <c:axId val="154435391"/>
        <c:scaling>
          <c:orientation val="minMax"/>
          <c:max val="7.000000000000001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TE</a:t>
                </a:r>
                <a:r>
                  <a:rPr lang="en-US" altLang="ja-JP" baseline="0"/>
                  <a:t> R</a:t>
                </a:r>
                <a:r>
                  <a:rPr lang="ja-JP" altLang="en-US" baseline="0"/>
                  <a:t>→</a:t>
                </a:r>
                <a:r>
                  <a:rPr lang="en-US" altLang="ja-JP" baseline="0"/>
                  <a:t>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3471"/>
        <c:crosses val="autoZero"/>
        <c:crossBetween val="midCat"/>
      </c:valAx>
      <c:valAx>
        <c:axId val="154433471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Score</a:t>
                </a:r>
                <a:r>
                  <a:rPr lang="en-US" altLang="ja-JP" baseline="0"/>
                  <a:t> of Heart-to-Heart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Q5-TE H</a:t>
            </a: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→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 in their 50s-80s</a:t>
            </a:r>
          </a:p>
          <a:p>
            <a:pPr>
              <a:defRPr/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k=100,l=100,maxd=20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'datak=100,l=100,t=2,maxdelay=20'!$U$2:$U$43</c:f>
              <c:numCache>
                <c:formatCode>General</c:formatCode>
                <c:ptCount val="42"/>
                <c:pt idx="0">
                  <c:v>2.4284580000000001E-3</c:v>
                </c:pt>
                <c:pt idx="1">
                  <c:v>1.394642E-3</c:v>
                </c:pt>
                <c:pt idx="2">
                  <c:v>1.0544930000000001E-3</c:v>
                </c:pt>
                <c:pt idx="3">
                  <c:v>1.733397E-3</c:v>
                </c:pt>
                <c:pt idx="4">
                  <c:v>2.2977700000000002E-3</c:v>
                </c:pt>
                <c:pt idx="5">
                  <c:v>4.7401399999999998E-4</c:v>
                </c:pt>
                <c:pt idx="6">
                  <c:v>1.4214849999999999E-3</c:v>
                </c:pt>
                <c:pt idx="7">
                  <c:v>5.3051499999999996E-4</c:v>
                </c:pt>
                <c:pt idx="8">
                  <c:v>1.9614630000000001E-3</c:v>
                </c:pt>
                <c:pt idx="9">
                  <c:v>1.676105E-3</c:v>
                </c:pt>
                <c:pt idx="10">
                  <c:v>1.868815E-3</c:v>
                </c:pt>
                <c:pt idx="11">
                  <c:v>3.9289090000000004E-3</c:v>
                </c:pt>
                <c:pt idx="12">
                  <c:v>4.6091420000000001E-3</c:v>
                </c:pt>
                <c:pt idx="13">
                  <c:v>3.9814610000000004E-3</c:v>
                </c:pt>
                <c:pt idx="14">
                  <c:v>1.574651E-3</c:v>
                </c:pt>
                <c:pt idx="15">
                  <c:v>6.7053720000000002E-3</c:v>
                </c:pt>
                <c:pt idx="16">
                  <c:v>2.2149050000000001E-3</c:v>
                </c:pt>
                <c:pt idx="17">
                  <c:v>1.2857560000000001E-3</c:v>
                </c:pt>
                <c:pt idx="18">
                  <c:v>6.8924399999999999E-4</c:v>
                </c:pt>
                <c:pt idx="19">
                  <c:v>2.7846939999999999E-3</c:v>
                </c:pt>
                <c:pt idx="20">
                  <c:v>2.573479E-3</c:v>
                </c:pt>
                <c:pt idx="21">
                  <c:v>1.317344E-3</c:v>
                </c:pt>
                <c:pt idx="22">
                  <c:v>3.403831E-3</c:v>
                </c:pt>
                <c:pt idx="23">
                  <c:v>1.0131980000000001E-3</c:v>
                </c:pt>
                <c:pt idx="24">
                  <c:v>1.2213059999999999E-3</c:v>
                </c:pt>
                <c:pt idx="25">
                  <c:v>1.72926E-3</c:v>
                </c:pt>
                <c:pt idx="26">
                  <c:v>1.892814E-3</c:v>
                </c:pt>
                <c:pt idx="27">
                  <c:v>4.2559440000000002E-3</c:v>
                </c:pt>
                <c:pt idx="28">
                  <c:v>9.86261E-4</c:v>
                </c:pt>
                <c:pt idx="29">
                  <c:v>1.0614039999999999E-3</c:v>
                </c:pt>
                <c:pt idx="30">
                  <c:v>6.626898E-3</c:v>
                </c:pt>
                <c:pt idx="31">
                  <c:v>2.7940069999999998E-3</c:v>
                </c:pt>
                <c:pt idx="32">
                  <c:v>2.8238619999999999E-3</c:v>
                </c:pt>
                <c:pt idx="33">
                  <c:v>1.5013100000000001E-3</c:v>
                </c:pt>
                <c:pt idx="34">
                  <c:v>3.8011479999999999E-3</c:v>
                </c:pt>
                <c:pt idx="35">
                  <c:v>2.0702279999999999E-3</c:v>
                </c:pt>
                <c:pt idx="36">
                  <c:v>3.195453E-3</c:v>
                </c:pt>
                <c:pt idx="37">
                  <c:v>2.99453E-3</c:v>
                </c:pt>
                <c:pt idx="38">
                  <c:v>8.6436499999999997E-4</c:v>
                </c:pt>
                <c:pt idx="39">
                  <c:v>2.5645170000000001E-3</c:v>
                </c:pt>
                <c:pt idx="40">
                  <c:v>9.9412400000000009E-4</c:v>
                </c:pt>
                <c:pt idx="41">
                  <c:v>2.134248E-3</c:v>
                </c:pt>
              </c:numCache>
            </c:numRef>
          </c:xVal>
          <c:yVal>
            <c:numRef>
              <c:f>'datak=100,l=100,t=2,maxdelay=20'!$F$2:$F$43</c:f>
              <c:numCache>
                <c:formatCode>General</c:formatCode>
                <c:ptCount val="42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7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5</c:v>
                </c:pt>
                <c:pt idx="16">
                  <c:v>6</c:v>
                </c:pt>
                <c:pt idx="17">
                  <c:v>3</c:v>
                </c:pt>
                <c:pt idx="18">
                  <c:v>7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6</c:v>
                </c:pt>
                <c:pt idx="26">
                  <c:v>3</c:v>
                </c:pt>
                <c:pt idx="27">
                  <c:v>5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7</c:v>
                </c:pt>
                <c:pt idx="32">
                  <c:v>6</c:v>
                </c:pt>
                <c:pt idx="33">
                  <c:v>4</c:v>
                </c:pt>
                <c:pt idx="34">
                  <c:v>2</c:v>
                </c:pt>
                <c:pt idx="35">
                  <c:v>6</c:v>
                </c:pt>
                <c:pt idx="36">
                  <c:v>7</c:v>
                </c:pt>
                <c:pt idx="37">
                  <c:v>4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1-435A-BF76-35781ACE4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5391"/>
        <c:axId val="154433471"/>
      </c:scatterChart>
      <c:valAx>
        <c:axId val="154435391"/>
        <c:scaling>
          <c:orientation val="minMax"/>
          <c:max val="7.000000000000001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TE</a:t>
                </a:r>
                <a:r>
                  <a:rPr lang="en-US" altLang="ja-JP" baseline="0"/>
                  <a:t> H→R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3471"/>
        <c:crosses val="autoZero"/>
        <c:crossBetween val="midCat"/>
      </c:valAx>
      <c:valAx>
        <c:axId val="154433471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Score</a:t>
                </a:r>
                <a:r>
                  <a:rPr lang="en-US" altLang="ja-JP" baseline="0"/>
                  <a:t> of Heart-to-Heart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Q6-TE</a:t>
            </a:r>
            <a:r>
              <a:rPr lang="en-US" altLang="ja-JP" baseline="0"/>
              <a:t> R</a:t>
            </a:r>
            <a:r>
              <a:rPr lang="ja-JP" altLang="en-US" baseline="0"/>
              <a:t>→</a:t>
            </a:r>
            <a:r>
              <a:rPr lang="en-US" altLang="ja-JP" baseline="0"/>
              <a:t>H</a:t>
            </a:r>
            <a:r>
              <a:rPr lang="en-US" altLang="ja-JP"/>
              <a:t> in their 50s-80s</a:t>
            </a:r>
          </a:p>
          <a:p>
            <a:pPr>
              <a:defRPr/>
            </a:pPr>
            <a:r>
              <a:rPr lang="en-US" altLang="ja-JP"/>
              <a:t>k=100,l=100,maxd=20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'datak=100,l=100,t=2,maxdelay=20'!$P$2:$P$43</c:f>
              <c:numCache>
                <c:formatCode>General</c:formatCode>
                <c:ptCount val="42"/>
                <c:pt idx="0">
                  <c:v>1.9215669999999999E-3</c:v>
                </c:pt>
                <c:pt idx="1">
                  <c:v>4.3793850000000004E-3</c:v>
                </c:pt>
                <c:pt idx="2">
                  <c:v>1.806184E-3</c:v>
                </c:pt>
                <c:pt idx="3">
                  <c:v>2.043624E-3</c:v>
                </c:pt>
                <c:pt idx="4">
                  <c:v>2.2248960000000001E-3</c:v>
                </c:pt>
                <c:pt idx="5">
                  <c:v>2.3748630000000001E-3</c:v>
                </c:pt>
                <c:pt idx="6">
                  <c:v>2.6036169999999999E-3</c:v>
                </c:pt>
                <c:pt idx="7">
                  <c:v>3.190348E-3</c:v>
                </c:pt>
                <c:pt idx="8">
                  <c:v>1.8523979999999999E-3</c:v>
                </c:pt>
                <c:pt idx="9">
                  <c:v>1.2046419999999999E-3</c:v>
                </c:pt>
                <c:pt idx="10">
                  <c:v>4.4229610000000004E-3</c:v>
                </c:pt>
                <c:pt idx="11">
                  <c:v>2.4476929999999999E-3</c:v>
                </c:pt>
                <c:pt idx="12">
                  <c:v>4.7698599999999999E-4</c:v>
                </c:pt>
                <c:pt idx="13">
                  <c:v>5.7701300000000003E-4</c:v>
                </c:pt>
                <c:pt idx="14">
                  <c:v>3.599489E-3</c:v>
                </c:pt>
                <c:pt idx="15">
                  <c:v>2.7791500000000002E-3</c:v>
                </c:pt>
                <c:pt idx="16">
                  <c:v>2.0410099999999998E-3</c:v>
                </c:pt>
                <c:pt idx="17">
                  <c:v>3.0357439999999999E-3</c:v>
                </c:pt>
                <c:pt idx="18">
                  <c:v>4.3734749999999999E-3</c:v>
                </c:pt>
                <c:pt idx="19">
                  <c:v>4.2651190000000004E-3</c:v>
                </c:pt>
                <c:pt idx="20">
                  <c:v>1.3987369999999999E-3</c:v>
                </c:pt>
                <c:pt idx="21">
                  <c:v>2.4452290000000002E-3</c:v>
                </c:pt>
                <c:pt idx="22">
                  <c:v>2.5655529999999999E-3</c:v>
                </c:pt>
                <c:pt idx="23">
                  <c:v>4.1536439999999997E-3</c:v>
                </c:pt>
                <c:pt idx="24">
                  <c:v>4.8289769999999999E-3</c:v>
                </c:pt>
                <c:pt idx="25">
                  <c:v>1.9568260000000001E-3</c:v>
                </c:pt>
                <c:pt idx="26">
                  <c:v>1.246839E-3</c:v>
                </c:pt>
                <c:pt idx="27">
                  <c:v>2.2566219999999998E-3</c:v>
                </c:pt>
                <c:pt idx="28">
                  <c:v>2.8066979999999998E-3</c:v>
                </c:pt>
                <c:pt idx="29">
                  <c:v>2.0608499999999999E-3</c:v>
                </c:pt>
                <c:pt idx="30">
                  <c:v>1.9318549999999999E-3</c:v>
                </c:pt>
                <c:pt idx="31">
                  <c:v>5.3271830000000001E-3</c:v>
                </c:pt>
                <c:pt idx="32">
                  <c:v>4.2356690000000001E-3</c:v>
                </c:pt>
                <c:pt idx="33">
                  <c:v>5.1377080000000004E-3</c:v>
                </c:pt>
                <c:pt idx="34">
                  <c:v>5.1975399999999998E-4</c:v>
                </c:pt>
                <c:pt idx="35">
                  <c:v>3.6163419999999998E-3</c:v>
                </c:pt>
                <c:pt idx="36">
                  <c:v>1.997291E-3</c:v>
                </c:pt>
                <c:pt idx="37">
                  <c:v>2.7853520000000001E-3</c:v>
                </c:pt>
                <c:pt idx="38">
                  <c:v>3.4690120000000001E-3</c:v>
                </c:pt>
                <c:pt idx="39">
                  <c:v>2.6996239999999999E-3</c:v>
                </c:pt>
                <c:pt idx="40">
                  <c:v>3.5695990000000001E-3</c:v>
                </c:pt>
                <c:pt idx="41">
                  <c:v>3.0519549999999999E-3</c:v>
                </c:pt>
              </c:numCache>
            </c:numRef>
          </c:xVal>
          <c:yVal>
            <c:numRef>
              <c:f>'datak=100,l=100,t=2,maxdelay=20'!$G$2:$G$43</c:f>
              <c:numCache>
                <c:formatCode>General</c:formatCode>
                <c:ptCount val="42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5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3</c:v>
                </c:pt>
                <c:pt idx="13">
                  <c:v>7</c:v>
                </c:pt>
                <c:pt idx="14">
                  <c:v>1</c:v>
                </c:pt>
                <c:pt idx="15">
                  <c:v>6</c:v>
                </c:pt>
                <c:pt idx="16">
                  <c:v>6</c:v>
                </c:pt>
                <c:pt idx="17">
                  <c:v>4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6</c:v>
                </c:pt>
                <c:pt idx="29">
                  <c:v>4</c:v>
                </c:pt>
                <c:pt idx="30">
                  <c:v>3</c:v>
                </c:pt>
                <c:pt idx="31">
                  <c:v>7</c:v>
                </c:pt>
                <c:pt idx="32">
                  <c:v>6</c:v>
                </c:pt>
                <c:pt idx="33">
                  <c:v>4</c:v>
                </c:pt>
                <c:pt idx="34">
                  <c:v>2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5</c:v>
                </c:pt>
                <c:pt idx="39">
                  <c:v>4</c:v>
                </c:pt>
                <c:pt idx="40">
                  <c:v>6</c:v>
                </c:pt>
                <c:pt idx="4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E5-425E-AD3D-F1FE09ECF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5391"/>
        <c:axId val="154433471"/>
      </c:scatterChart>
      <c:valAx>
        <c:axId val="154435391"/>
        <c:scaling>
          <c:orientation val="minMax"/>
          <c:max val="7.000000000000001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TE</a:t>
                </a:r>
                <a:r>
                  <a:rPr lang="en-US" altLang="ja-JP" baseline="0"/>
                  <a:t> R</a:t>
                </a:r>
                <a:r>
                  <a:rPr lang="ja-JP" altLang="en-US" baseline="0"/>
                  <a:t>→</a:t>
                </a:r>
                <a:r>
                  <a:rPr lang="en-US" altLang="ja-JP" baseline="0"/>
                  <a:t>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3471"/>
        <c:crosses val="autoZero"/>
        <c:crossBetween val="midCat"/>
      </c:valAx>
      <c:valAx>
        <c:axId val="154433471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Score</a:t>
                </a:r>
                <a:r>
                  <a:rPr lang="en-US" altLang="ja-JP" baseline="0"/>
                  <a:t> of Good Mood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Q6-TE H</a:t>
            </a: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→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 in their50s-80s</a:t>
            </a:r>
          </a:p>
          <a:p>
            <a:pPr>
              <a:defRPr/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k=100,l=100,maxd=20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'datak=100,l=100,t=2,maxdelay=20'!$U$2:$U$43</c:f>
              <c:numCache>
                <c:formatCode>General</c:formatCode>
                <c:ptCount val="42"/>
                <c:pt idx="0">
                  <c:v>2.4284580000000001E-3</c:v>
                </c:pt>
                <c:pt idx="1">
                  <c:v>1.394642E-3</c:v>
                </c:pt>
                <c:pt idx="2">
                  <c:v>1.0544930000000001E-3</c:v>
                </c:pt>
                <c:pt idx="3">
                  <c:v>1.733397E-3</c:v>
                </c:pt>
                <c:pt idx="4">
                  <c:v>2.2977700000000002E-3</c:v>
                </c:pt>
                <c:pt idx="5">
                  <c:v>4.7401399999999998E-4</c:v>
                </c:pt>
                <c:pt idx="6">
                  <c:v>1.4214849999999999E-3</c:v>
                </c:pt>
                <c:pt idx="7">
                  <c:v>5.3051499999999996E-4</c:v>
                </c:pt>
                <c:pt idx="8">
                  <c:v>1.9614630000000001E-3</c:v>
                </c:pt>
                <c:pt idx="9">
                  <c:v>1.676105E-3</c:v>
                </c:pt>
                <c:pt idx="10">
                  <c:v>1.868815E-3</c:v>
                </c:pt>
                <c:pt idx="11">
                  <c:v>3.9289090000000004E-3</c:v>
                </c:pt>
                <c:pt idx="12">
                  <c:v>4.6091420000000001E-3</c:v>
                </c:pt>
                <c:pt idx="13">
                  <c:v>3.9814610000000004E-3</c:v>
                </c:pt>
                <c:pt idx="14">
                  <c:v>1.574651E-3</c:v>
                </c:pt>
                <c:pt idx="15">
                  <c:v>6.7053720000000002E-3</c:v>
                </c:pt>
                <c:pt idx="16">
                  <c:v>2.2149050000000001E-3</c:v>
                </c:pt>
                <c:pt idx="17">
                  <c:v>1.2857560000000001E-3</c:v>
                </c:pt>
                <c:pt idx="18">
                  <c:v>6.8924399999999999E-4</c:v>
                </c:pt>
                <c:pt idx="19">
                  <c:v>2.7846939999999999E-3</c:v>
                </c:pt>
                <c:pt idx="20">
                  <c:v>2.573479E-3</c:v>
                </c:pt>
                <c:pt idx="21">
                  <c:v>1.317344E-3</c:v>
                </c:pt>
                <c:pt idx="22">
                  <c:v>3.403831E-3</c:v>
                </c:pt>
                <c:pt idx="23">
                  <c:v>1.0131980000000001E-3</c:v>
                </c:pt>
                <c:pt idx="24">
                  <c:v>1.2213059999999999E-3</c:v>
                </c:pt>
                <c:pt idx="25">
                  <c:v>1.72926E-3</c:v>
                </c:pt>
                <c:pt idx="26">
                  <c:v>1.892814E-3</c:v>
                </c:pt>
                <c:pt idx="27">
                  <c:v>4.2559440000000002E-3</c:v>
                </c:pt>
                <c:pt idx="28">
                  <c:v>9.86261E-4</c:v>
                </c:pt>
                <c:pt idx="29">
                  <c:v>1.0614039999999999E-3</c:v>
                </c:pt>
                <c:pt idx="30">
                  <c:v>6.626898E-3</c:v>
                </c:pt>
                <c:pt idx="31">
                  <c:v>2.7940069999999998E-3</c:v>
                </c:pt>
                <c:pt idx="32">
                  <c:v>2.8238619999999999E-3</c:v>
                </c:pt>
                <c:pt idx="33">
                  <c:v>1.5013100000000001E-3</c:v>
                </c:pt>
                <c:pt idx="34">
                  <c:v>3.8011479999999999E-3</c:v>
                </c:pt>
                <c:pt idx="35">
                  <c:v>2.0702279999999999E-3</c:v>
                </c:pt>
                <c:pt idx="36">
                  <c:v>3.195453E-3</c:v>
                </c:pt>
                <c:pt idx="37">
                  <c:v>2.99453E-3</c:v>
                </c:pt>
                <c:pt idx="38">
                  <c:v>8.6436499999999997E-4</c:v>
                </c:pt>
                <c:pt idx="39">
                  <c:v>2.5645170000000001E-3</c:v>
                </c:pt>
                <c:pt idx="40">
                  <c:v>9.9412400000000009E-4</c:v>
                </c:pt>
                <c:pt idx="41">
                  <c:v>2.134248E-3</c:v>
                </c:pt>
              </c:numCache>
            </c:numRef>
          </c:xVal>
          <c:yVal>
            <c:numRef>
              <c:f>'datak=100,l=100,t=2,maxdelay=20'!$G$2:$G$43</c:f>
              <c:numCache>
                <c:formatCode>General</c:formatCode>
                <c:ptCount val="42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5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3</c:v>
                </c:pt>
                <c:pt idx="13">
                  <c:v>7</c:v>
                </c:pt>
                <c:pt idx="14">
                  <c:v>1</c:v>
                </c:pt>
                <c:pt idx="15">
                  <c:v>6</c:v>
                </c:pt>
                <c:pt idx="16">
                  <c:v>6</c:v>
                </c:pt>
                <c:pt idx="17">
                  <c:v>4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6</c:v>
                </c:pt>
                <c:pt idx="29">
                  <c:v>4</c:v>
                </c:pt>
                <c:pt idx="30">
                  <c:v>3</c:v>
                </c:pt>
                <c:pt idx="31">
                  <c:v>7</c:v>
                </c:pt>
                <c:pt idx="32">
                  <c:v>6</c:v>
                </c:pt>
                <c:pt idx="33">
                  <c:v>4</c:v>
                </c:pt>
                <c:pt idx="34">
                  <c:v>2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5</c:v>
                </c:pt>
                <c:pt idx="39">
                  <c:v>4</c:v>
                </c:pt>
                <c:pt idx="40">
                  <c:v>6</c:v>
                </c:pt>
                <c:pt idx="4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1E-442F-8B9C-5B19DA8FE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5391"/>
        <c:axId val="154433471"/>
      </c:scatterChart>
      <c:valAx>
        <c:axId val="154435391"/>
        <c:scaling>
          <c:orientation val="minMax"/>
          <c:max val="7.000000000000001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TE</a:t>
                </a:r>
                <a:r>
                  <a:rPr lang="en-US" altLang="ja-JP" baseline="0"/>
                  <a:t> H→R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3471"/>
        <c:crosses val="autoZero"/>
        <c:crossBetween val="midCat"/>
      </c:valAx>
      <c:valAx>
        <c:axId val="154433471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Score</a:t>
                </a:r>
                <a:r>
                  <a:rPr lang="en-US" altLang="ja-JP" baseline="0"/>
                  <a:t> of Good Mood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301625</xdr:colOff>
      <xdr:row>2</xdr:row>
      <xdr:rowOff>41275</xdr:rowOff>
    </xdr:from>
    <xdr:to>
      <xdr:col>28</xdr:col>
      <xdr:colOff>95250</xdr:colOff>
      <xdr:row>13</xdr:row>
      <xdr:rowOff>165100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CB96252-D40F-72BE-350E-60F4210A2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2</xdr:row>
      <xdr:rowOff>0</xdr:rowOff>
    </xdr:from>
    <xdr:to>
      <xdr:col>38</xdr:col>
      <xdr:colOff>485167</xdr:colOff>
      <xdr:row>13</xdr:row>
      <xdr:rowOff>123825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5D5D456-0C2A-463E-9AF0-5608BBBC3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421598</xdr:colOff>
      <xdr:row>2</xdr:row>
      <xdr:rowOff>134963</xdr:rowOff>
    </xdr:from>
    <xdr:to>
      <xdr:col>48</xdr:col>
      <xdr:colOff>215224</xdr:colOff>
      <xdr:row>14</xdr:row>
      <xdr:rowOff>24567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C36A03D-71BB-4268-B106-88E4DC8B3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52</xdr:col>
      <xdr:colOff>119973</xdr:colOff>
      <xdr:row>2</xdr:row>
      <xdr:rowOff>93688</xdr:rowOff>
    </xdr:from>
    <xdr:to>
      <xdr:col>58</xdr:col>
      <xdr:colOff>605140</xdr:colOff>
      <xdr:row>13</xdr:row>
      <xdr:rowOff>217513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A5E23CC-949F-49F0-8637-37B18B47F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399612</xdr:colOff>
      <xdr:row>16</xdr:row>
      <xdr:rowOff>84019</xdr:rowOff>
    </xdr:from>
    <xdr:to>
      <xdr:col>28</xdr:col>
      <xdr:colOff>193237</xdr:colOff>
      <xdr:row>27</xdr:row>
      <xdr:rowOff>207844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1B4923A-3EFB-4C21-BA6C-F84909428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97987</xdr:colOff>
      <xdr:row>16</xdr:row>
      <xdr:rowOff>42744</xdr:rowOff>
    </xdr:from>
    <xdr:to>
      <xdr:col>38</xdr:col>
      <xdr:colOff>583154</xdr:colOff>
      <xdr:row>27</xdr:row>
      <xdr:rowOff>166569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14601AD2-7ABD-4891-A031-7A86E88F2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519585</xdr:colOff>
      <xdr:row>16</xdr:row>
      <xdr:rowOff>177707</xdr:rowOff>
    </xdr:from>
    <xdr:to>
      <xdr:col>48</xdr:col>
      <xdr:colOff>313211</xdr:colOff>
      <xdr:row>28</xdr:row>
      <xdr:rowOff>67311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91FF27EF-2429-4AA5-9C27-21C2C4BB9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52</xdr:col>
      <xdr:colOff>217960</xdr:colOff>
      <xdr:row>16</xdr:row>
      <xdr:rowOff>136432</xdr:rowOff>
    </xdr:from>
    <xdr:to>
      <xdr:col>59</xdr:col>
      <xdr:colOff>13386</xdr:colOff>
      <xdr:row>28</xdr:row>
      <xdr:rowOff>13921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CC0517F2-F4DC-4326-A139-B3E6DCCCF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399612</xdr:colOff>
      <xdr:row>29</xdr:row>
      <xdr:rowOff>84019</xdr:rowOff>
    </xdr:from>
    <xdr:to>
      <xdr:col>28</xdr:col>
      <xdr:colOff>193237</xdr:colOff>
      <xdr:row>40</xdr:row>
      <xdr:rowOff>207844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21D4A92B-3D5A-4B31-8151-866907BB5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97987</xdr:colOff>
      <xdr:row>29</xdr:row>
      <xdr:rowOff>42744</xdr:rowOff>
    </xdr:from>
    <xdr:to>
      <xdr:col>38</xdr:col>
      <xdr:colOff>583154</xdr:colOff>
      <xdr:row>40</xdr:row>
      <xdr:rowOff>166569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B70011F7-C06B-4837-B948-9EA22A471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41</xdr:col>
      <xdr:colOff>519585</xdr:colOff>
      <xdr:row>29</xdr:row>
      <xdr:rowOff>177707</xdr:rowOff>
    </xdr:from>
    <xdr:to>
      <xdr:col>48</xdr:col>
      <xdr:colOff>313211</xdr:colOff>
      <xdr:row>41</xdr:row>
      <xdr:rowOff>67311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6C527AF0-AB57-4CE6-848B-21A1D649D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52</xdr:col>
      <xdr:colOff>217960</xdr:colOff>
      <xdr:row>29</xdr:row>
      <xdr:rowOff>136432</xdr:rowOff>
    </xdr:from>
    <xdr:to>
      <xdr:col>59</xdr:col>
      <xdr:colOff>13386</xdr:colOff>
      <xdr:row>41</xdr:row>
      <xdr:rowOff>13921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7A4F4A2A-2895-43D2-90E5-05B399C9E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64FA69-330F-491F-A9F5-D0AC141DC495}" name="テーブル1" displayName="テーブル1" ref="A1:U43" totalsRowShown="0">
  <autoFilter ref="A1:U43" xr:uid="{C464FA69-330F-491F-A9F5-D0AC141DC495}"/>
  <tableColumns count="21">
    <tableColumn id="1" xr3:uid="{E36F6EAC-680E-4C56-B91D-E44E908332A1}" name="ID"/>
    <tableColumn id="2" xr3:uid="{A086AE4C-8911-48B4-AE7E-146E8407E88B}" name="Q1"/>
    <tableColumn id="3" xr3:uid="{A89C2EE7-D12B-44D8-A221-E6B5B9E29586}" name="Q2"/>
    <tableColumn id="4" xr3:uid="{06E045CD-3D82-4A0F-BD05-B2F669F0D322}" name="Q3"/>
    <tableColumn id="5" xr3:uid="{7BE56C37-E6BC-41E4-AE66-7EB021A1C07D}" name="Q4"/>
    <tableColumn id="6" xr3:uid="{1C3B658E-D699-4F38-A71B-A2A5C84C192E}" name="Q5"/>
    <tableColumn id="7" xr3:uid="{6217B6A4-4C89-4990-857E-B3AD714A0762}" name="Q6"/>
    <tableColumn id="8" xr3:uid="{A94BD4C5-519B-4E1B-A476-4E346A953658}" name="Q7"/>
    <tableColumn id="9" xr3:uid="{77DE0AEE-F726-41A2-85BE-B17B4DD42E05}" name="Q8"/>
    <tableColumn id="10" xr3:uid="{B44C9017-88F6-4A75-B601-26A56C57EA64}" name="Q9"/>
    <tableColumn id="11" xr3:uid="{9E694DBA-0C2B-4866-9296-7AAFD06AA372}" name="age"/>
    <tableColumn id="12" xr3:uid="{84E1F1F0-DF7E-4C96-8727-455F8E379B60}" name="RtoHd=0"/>
    <tableColumn id="13" xr3:uid="{4E8ED9D1-AFCF-4713-8970-3902246C53B6}" name="RtoHd=5"/>
    <tableColumn id="14" xr3:uid="{8EBD33D6-E228-4CC6-9354-739E5429CDE9}" name="RtoHd=10"/>
    <tableColumn id="15" xr3:uid="{B75608E1-CCB1-4B42-B8CB-E1B17D1F8062}" name="RtoHd=20"/>
    <tableColumn id="16" xr3:uid="{36572D75-027A-432C-857A-CA6516BE1B03}" name="RtoHd=Max"/>
    <tableColumn id="17" xr3:uid="{B45D159E-0783-443E-8C00-DF2272B9C8B4}" name="HtoRd=0"/>
    <tableColumn id="18" xr3:uid="{8BF5B769-AFEC-464B-BAF9-C21BF24F9B28}" name="HtoRd=5"/>
    <tableColumn id="19" xr3:uid="{1C0C2D70-19D5-4E54-A4AC-6BE9AE5CDC27}" name="HtoRd=10"/>
    <tableColumn id="20" xr3:uid="{4EAB3F8A-51A2-4839-9865-AF2F702C0B77}" name="HtoRd=20"/>
    <tableColumn id="21" xr3:uid="{D1C35A24-3902-4CBB-8002-588AD65631C2}" name="HtoRd=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9B57-9D90-4CDC-B52A-172E28727315}">
  <dimension ref="A1:BI47"/>
  <sheetViews>
    <sheetView tabSelected="1" topLeftCell="P1" zoomScale="55" workbookViewId="0">
      <selection activeCell="AR44" sqref="AR44"/>
    </sheetView>
  </sheetViews>
  <sheetFormatPr defaultRowHeight="18.75" x14ac:dyDescent="0.4"/>
  <cols>
    <col min="12" max="13" width="11" customWidth="1"/>
    <col min="14" max="15" width="12.125" customWidth="1"/>
    <col min="16" max="16" width="14" customWidth="1"/>
    <col min="17" max="18" width="11" customWidth="1"/>
    <col min="19" max="20" width="12.125" customWidth="1"/>
    <col min="21" max="21" width="14" customWidth="1"/>
  </cols>
  <sheetData>
    <row r="1" spans="1:6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61" x14ac:dyDescent="0.4">
      <c r="A2">
        <v>141359</v>
      </c>
      <c r="B2">
        <v>7</v>
      </c>
      <c r="C2">
        <v>7</v>
      </c>
      <c r="D2">
        <v>7</v>
      </c>
      <c r="E2">
        <v>7</v>
      </c>
      <c r="F2">
        <v>7</v>
      </c>
      <c r="G2">
        <v>7</v>
      </c>
      <c r="H2">
        <v>7</v>
      </c>
      <c r="I2">
        <v>7</v>
      </c>
      <c r="J2">
        <v>7</v>
      </c>
      <c r="K2">
        <v>11</v>
      </c>
      <c r="L2">
        <v>1.696094E-3</v>
      </c>
      <c r="M2">
        <v>1.9215669999999999E-3</v>
      </c>
      <c r="N2">
        <v>1.7165030000000001E-3</v>
      </c>
      <c r="O2">
        <v>1.882781E-3</v>
      </c>
      <c r="P2">
        <v>1.9215669999999999E-3</v>
      </c>
      <c r="Q2">
        <v>2.2556360000000001E-3</v>
      </c>
      <c r="R2">
        <v>2.3885220000000001E-3</v>
      </c>
      <c r="S2">
        <v>2.4284580000000001E-3</v>
      </c>
      <c r="T2">
        <v>1.815543E-3</v>
      </c>
      <c r="U2">
        <v>2.4284580000000001E-3</v>
      </c>
    </row>
    <row r="3" spans="1:61" x14ac:dyDescent="0.4">
      <c r="A3" s="2">
        <v>125944</v>
      </c>
      <c r="B3" s="2">
        <v>6</v>
      </c>
      <c r="C3" s="2">
        <v>5</v>
      </c>
      <c r="D3" s="2">
        <v>3</v>
      </c>
      <c r="E3" s="2">
        <v>5</v>
      </c>
      <c r="F3" s="2">
        <v>6</v>
      </c>
      <c r="G3" s="2">
        <v>3</v>
      </c>
      <c r="H3" s="2">
        <v>6</v>
      </c>
      <c r="I3" s="2">
        <v>2</v>
      </c>
      <c r="J3" s="2">
        <v>7</v>
      </c>
      <c r="K3" s="2">
        <v>22</v>
      </c>
      <c r="L3" s="2">
        <v>3.883811E-3</v>
      </c>
      <c r="M3" s="2">
        <v>4.3093879999999999E-3</v>
      </c>
      <c r="N3" s="2">
        <v>4.0472659999999999E-3</v>
      </c>
      <c r="O3" s="2">
        <v>4.3793850000000004E-3</v>
      </c>
      <c r="P3" s="2">
        <v>4.3793850000000004E-3</v>
      </c>
      <c r="Q3" s="2">
        <v>1.394642E-3</v>
      </c>
      <c r="R3" s="2">
        <v>1.3849590000000001E-3</v>
      </c>
      <c r="S3" s="2">
        <v>1.2403189999999999E-3</v>
      </c>
      <c r="T3" s="2">
        <v>1.1363580000000001E-3</v>
      </c>
      <c r="U3" s="2">
        <v>1.394642E-3</v>
      </c>
    </row>
    <row r="4" spans="1:61" x14ac:dyDescent="0.4">
      <c r="A4" s="2">
        <v>133947</v>
      </c>
      <c r="B4" s="2">
        <v>7</v>
      </c>
      <c r="C4" s="2">
        <v>7</v>
      </c>
      <c r="D4" s="2">
        <v>7</v>
      </c>
      <c r="E4" s="2">
        <v>7</v>
      </c>
      <c r="F4" s="2">
        <v>7</v>
      </c>
      <c r="G4" s="2">
        <v>7</v>
      </c>
      <c r="H4" s="2">
        <v>7</v>
      </c>
      <c r="I4" s="2">
        <v>6</v>
      </c>
      <c r="J4" s="2">
        <v>7</v>
      </c>
      <c r="K4" s="2">
        <v>22</v>
      </c>
      <c r="L4" s="2">
        <v>1.806184E-3</v>
      </c>
      <c r="M4" s="2">
        <v>1.5108490000000001E-3</v>
      </c>
      <c r="N4" s="2">
        <v>1.2855220000000001E-3</v>
      </c>
      <c r="O4" s="2">
        <v>8.5126799999999997E-4</v>
      </c>
      <c r="P4" s="2">
        <v>1.806184E-3</v>
      </c>
      <c r="Q4" s="2">
        <v>1.0544930000000001E-3</v>
      </c>
      <c r="R4" s="2">
        <v>3.1275999999999998E-4</v>
      </c>
      <c r="S4" s="2">
        <v>5.46596E-4</v>
      </c>
      <c r="T4" s="2">
        <v>8.5247199999999995E-4</v>
      </c>
      <c r="U4" s="2">
        <v>1.0544930000000001E-3</v>
      </c>
      <c r="AD4" s="5" t="s">
        <v>21</v>
      </c>
      <c r="AE4" s="5"/>
      <c r="AN4" s="5" t="s">
        <v>21</v>
      </c>
      <c r="AO4" s="5"/>
      <c r="AX4" s="5" t="s">
        <v>21</v>
      </c>
      <c r="AY4" s="5"/>
      <c r="BH4" s="5" t="s">
        <v>21</v>
      </c>
      <c r="BI4" s="5"/>
    </row>
    <row r="5" spans="1:61" x14ac:dyDescent="0.4">
      <c r="A5" s="2">
        <v>152902</v>
      </c>
      <c r="B5" s="2">
        <v>6</v>
      </c>
      <c r="C5" s="2">
        <v>6</v>
      </c>
      <c r="D5" s="2">
        <v>7</v>
      </c>
      <c r="E5" s="2">
        <v>7</v>
      </c>
      <c r="F5" s="2">
        <v>7</v>
      </c>
      <c r="G5" s="2">
        <v>7</v>
      </c>
      <c r="H5" s="2">
        <v>7</v>
      </c>
      <c r="I5" s="2">
        <v>6</v>
      </c>
      <c r="J5" s="2">
        <v>7</v>
      </c>
      <c r="K5" s="2">
        <v>22</v>
      </c>
      <c r="L5" s="2">
        <v>2.0231340000000002E-3</v>
      </c>
      <c r="M5" s="2">
        <v>1.555753E-3</v>
      </c>
      <c r="N5" s="2">
        <v>2.0092999999999999E-3</v>
      </c>
      <c r="O5" s="2">
        <v>2.043624E-3</v>
      </c>
      <c r="P5" s="2">
        <v>2.043624E-3</v>
      </c>
      <c r="Q5" s="2">
        <v>1.6742199999999999E-3</v>
      </c>
      <c r="R5" s="2">
        <v>9.44223E-4</v>
      </c>
      <c r="S5" s="2">
        <v>1.733397E-3</v>
      </c>
      <c r="T5" s="2">
        <v>1.4077989999999999E-3</v>
      </c>
      <c r="U5" s="2">
        <v>1.733397E-3</v>
      </c>
      <c r="AD5" t="s">
        <v>22</v>
      </c>
      <c r="AE5" s="5">
        <f>COUNT(F3:F15)</f>
        <v>13</v>
      </c>
      <c r="AN5" t="s">
        <v>22</v>
      </c>
      <c r="AO5" s="5">
        <f>COUNT(F3:F15)</f>
        <v>13</v>
      </c>
      <c r="AX5" t="s">
        <v>22</v>
      </c>
      <c r="AY5" s="5">
        <f>COUNT(G3:G15)</f>
        <v>13</v>
      </c>
      <c r="BH5" t="s">
        <v>22</v>
      </c>
      <c r="BI5" s="5">
        <f>COUNT(G3:G15)</f>
        <v>13</v>
      </c>
    </row>
    <row r="6" spans="1:61" x14ac:dyDescent="0.4">
      <c r="A6" s="2">
        <v>171118</v>
      </c>
      <c r="B6" s="2">
        <v>6</v>
      </c>
      <c r="C6" s="2">
        <v>6</v>
      </c>
      <c r="D6" s="2">
        <v>7</v>
      </c>
      <c r="E6" s="2">
        <v>6</v>
      </c>
      <c r="F6" s="2">
        <v>5</v>
      </c>
      <c r="G6" s="2">
        <v>6</v>
      </c>
      <c r="H6" s="2">
        <v>7</v>
      </c>
      <c r="I6" s="2">
        <v>6</v>
      </c>
      <c r="J6" s="2">
        <v>6</v>
      </c>
      <c r="K6" s="2">
        <v>22</v>
      </c>
      <c r="L6" s="2">
        <v>2.2248960000000001E-3</v>
      </c>
      <c r="M6" s="2">
        <v>2.0368719999999999E-3</v>
      </c>
      <c r="N6" s="2">
        <v>1.274812E-3</v>
      </c>
      <c r="O6" s="2">
        <v>1.2482089999999999E-3</v>
      </c>
      <c r="P6" s="2">
        <v>2.2248960000000001E-3</v>
      </c>
      <c r="Q6" s="2">
        <v>2.1667980000000002E-3</v>
      </c>
      <c r="R6" s="2">
        <v>1.1377570000000001E-3</v>
      </c>
      <c r="S6" s="2">
        <v>2.2977700000000002E-3</v>
      </c>
      <c r="T6" s="2">
        <v>2.023703E-3</v>
      </c>
      <c r="U6" s="2">
        <v>2.2977700000000002E-3</v>
      </c>
      <c r="AD6" t="s">
        <v>23</v>
      </c>
      <c r="AE6" s="5">
        <f>CORREL(F3:F15,P3:P15)</f>
        <v>0.41164204288175088</v>
      </c>
      <c r="AN6" t="s">
        <v>23</v>
      </c>
      <c r="AO6" s="5">
        <f>CORREL(F3:F15,U3:U15)</f>
        <v>-0.52604026879481147</v>
      </c>
      <c r="AX6" t="s">
        <v>23</v>
      </c>
      <c r="AY6" s="5">
        <f>CORREL(G3:G15,P3:P15)</f>
        <v>-0.20698917985109602</v>
      </c>
      <c r="BH6" t="s">
        <v>23</v>
      </c>
      <c r="BI6" s="5">
        <f>CORREL(G3:G15,U3:U15)</f>
        <v>-4.1356994389109406E-2</v>
      </c>
    </row>
    <row r="7" spans="1:61" x14ac:dyDescent="0.4">
      <c r="A7" s="2">
        <v>143640</v>
      </c>
      <c r="B7" s="2">
        <v>4</v>
      </c>
      <c r="C7" s="2">
        <v>5</v>
      </c>
      <c r="D7" s="2">
        <v>5</v>
      </c>
      <c r="E7" s="2">
        <v>5</v>
      </c>
      <c r="F7" s="2">
        <v>5</v>
      </c>
      <c r="G7" s="2">
        <v>5</v>
      </c>
      <c r="H7" s="2">
        <v>5</v>
      </c>
      <c r="I7" s="2">
        <v>5</v>
      </c>
      <c r="J7" s="2">
        <v>6</v>
      </c>
      <c r="K7" s="2">
        <v>23</v>
      </c>
      <c r="L7" s="2">
        <v>2.2937669999999999E-3</v>
      </c>
      <c r="M7" s="2">
        <v>2.3748630000000001E-3</v>
      </c>
      <c r="N7" s="2">
        <v>6.1525900000000005E-4</v>
      </c>
      <c r="O7" s="2">
        <v>1.024009E-3</v>
      </c>
      <c r="P7" s="2">
        <v>2.3748630000000001E-3</v>
      </c>
      <c r="Q7" s="2">
        <v>4.7401399999999998E-4</v>
      </c>
      <c r="R7" s="2">
        <v>3.3901500000000002E-4</v>
      </c>
      <c r="S7" s="2">
        <v>2.45324E-4</v>
      </c>
      <c r="T7" s="2">
        <v>2.3211400000000001E-4</v>
      </c>
      <c r="U7" s="2">
        <v>4.7401399999999998E-4</v>
      </c>
      <c r="AD7" t="s">
        <v>24</v>
      </c>
      <c r="AE7" s="5">
        <f>ABS(AE6)*SQRT(AE5-2)/SQRT(1-AE6*AE6)</f>
        <v>1.4980729405977684</v>
      </c>
      <c r="AN7" t="s">
        <v>24</v>
      </c>
      <c r="AO7" s="5">
        <f>ABS(AO6)*SQRT(AO5-2)/SQRT(1-AO6*AO6)</f>
        <v>2.051453202863518</v>
      </c>
      <c r="AX7" t="s">
        <v>24</v>
      </c>
      <c r="AY7" s="5">
        <f>ABS(AY6)*SQRT(AY5-2)/SQRT(1-AY6*AY6)</f>
        <v>0.70170204365707045</v>
      </c>
      <c r="BH7" t="s">
        <v>24</v>
      </c>
      <c r="BI7" s="5">
        <f>ABS(BI6)*SQRT(BI5-2)/SQRT(1-BI6*BI6)</f>
        <v>0.13728308765487646</v>
      </c>
    </row>
    <row r="8" spans="1:61" x14ac:dyDescent="0.4">
      <c r="A8" s="2">
        <v>155021</v>
      </c>
      <c r="B8" s="2">
        <v>6</v>
      </c>
      <c r="C8" s="2">
        <v>7</v>
      </c>
      <c r="D8" s="2">
        <v>6</v>
      </c>
      <c r="E8" s="2">
        <v>7</v>
      </c>
      <c r="F8" s="2">
        <v>7</v>
      </c>
      <c r="G8" s="2">
        <v>7</v>
      </c>
      <c r="H8" s="2">
        <v>7</v>
      </c>
      <c r="I8" s="2">
        <v>6</v>
      </c>
      <c r="J8" s="2">
        <v>7</v>
      </c>
      <c r="K8" s="2">
        <v>25</v>
      </c>
      <c r="L8" s="2">
        <v>2.6036169999999999E-3</v>
      </c>
      <c r="M8" s="2">
        <v>1.8754150000000001E-3</v>
      </c>
      <c r="N8" s="2">
        <v>1.921564E-3</v>
      </c>
      <c r="O8" s="2">
        <v>1.705739E-3</v>
      </c>
      <c r="P8" s="2">
        <v>2.6036169999999999E-3</v>
      </c>
      <c r="Q8" s="2">
        <v>1.1121799999999999E-3</v>
      </c>
      <c r="R8" s="2">
        <v>1.0263010000000001E-3</v>
      </c>
      <c r="S8" s="2">
        <v>1.2407690000000001E-3</v>
      </c>
      <c r="T8" s="2">
        <v>1.4214849999999999E-3</v>
      </c>
      <c r="U8" s="2">
        <v>1.4214849999999999E-3</v>
      </c>
      <c r="AD8" t="s">
        <v>25</v>
      </c>
      <c r="AE8" s="5">
        <f>TDIST(AE7,AE5-2,2)</f>
        <v>0.16225074542804357</v>
      </c>
      <c r="AN8" t="s">
        <v>25</v>
      </c>
      <c r="AO8" s="5">
        <f>TDIST(AO7,AO5-2,2)</f>
        <v>6.4813207132381256E-2</v>
      </c>
      <c r="AX8" t="s">
        <v>25</v>
      </c>
      <c r="AY8" s="5">
        <f>TDIST(AY7,AY5-2,2)</f>
        <v>0.49744301017611869</v>
      </c>
      <c r="BH8" t="s">
        <v>25</v>
      </c>
      <c r="BI8" s="5">
        <f>TDIST(BI7,BI5-2,2)</f>
        <v>0.89328760831335163</v>
      </c>
    </row>
    <row r="9" spans="1:61" x14ac:dyDescent="0.4">
      <c r="A9" s="2">
        <v>154457</v>
      </c>
      <c r="B9" s="2">
        <v>5</v>
      </c>
      <c r="C9" s="2">
        <v>4</v>
      </c>
      <c r="D9" s="2">
        <v>5</v>
      </c>
      <c r="E9" s="2">
        <v>5</v>
      </c>
      <c r="F9" s="2">
        <v>5</v>
      </c>
      <c r="G9" s="2">
        <v>5</v>
      </c>
      <c r="H9" s="2">
        <v>6</v>
      </c>
      <c r="I9" s="2">
        <v>5</v>
      </c>
      <c r="J9" s="2">
        <v>7</v>
      </c>
      <c r="K9" s="2">
        <v>26</v>
      </c>
      <c r="L9" s="2">
        <v>3.190348E-3</v>
      </c>
      <c r="M9" s="2">
        <v>3.1524019999999999E-3</v>
      </c>
      <c r="N9" s="2">
        <v>2.814155E-3</v>
      </c>
      <c r="O9" s="2">
        <v>2.462695E-3</v>
      </c>
      <c r="P9" s="2">
        <v>3.190348E-3</v>
      </c>
      <c r="Q9" s="3">
        <v>8.0799999999999999E-5</v>
      </c>
      <c r="R9" s="2">
        <v>5.0016999999999998E-4</v>
      </c>
      <c r="S9" s="2">
        <v>5.3051499999999996E-4</v>
      </c>
      <c r="T9" s="2">
        <v>4.5921999999999998E-4</v>
      </c>
      <c r="U9" s="2">
        <v>5.3051499999999996E-4</v>
      </c>
    </row>
    <row r="10" spans="1:61" x14ac:dyDescent="0.4">
      <c r="A10" s="2">
        <v>131319</v>
      </c>
      <c r="B10" s="2">
        <v>5</v>
      </c>
      <c r="C10" s="2">
        <v>5</v>
      </c>
      <c r="D10" s="2">
        <v>2</v>
      </c>
      <c r="E10" s="2">
        <v>2</v>
      </c>
      <c r="F10" s="2">
        <v>5</v>
      </c>
      <c r="G10" s="2">
        <v>5</v>
      </c>
      <c r="H10" s="2">
        <v>3</v>
      </c>
      <c r="I10" s="2">
        <v>5</v>
      </c>
      <c r="J10" s="2">
        <v>5</v>
      </c>
      <c r="K10" s="2">
        <v>27</v>
      </c>
      <c r="L10" s="2">
        <v>1.703045E-3</v>
      </c>
      <c r="M10" s="2">
        <v>1.8523979999999999E-3</v>
      </c>
      <c r="N10" s="2">
        <v>1.4339719999999999E-3</v>
      </c>
      <c r="O10" s="2">
        <v>9.3063399999999995E-4</v>
      </c>
      <c r="P10" s="2">
        <v>1.8523979999999999E-3</v>
      </c>
      <c r="Q10" s="2">
        <v>1.657122E-3</v>
      </c>
      <c r="R10" s="2">
        <v>1.8869399999999999E-3</v>
      </c>
      <c r="S10" s="2">
        <v>1.7069800000000001E-3</v>
      </c>
      <c r="T10" s="2">
        <v>1.9614630000000001E-3</v>
      </c>
      <c r="U10" s="2">
        <v>1.9614630000000001E-3</v>
      </c>
    </row>
    <row r="11" spans="1:61" x14ac:dyDescent="0.4">
      <c r="A11" s="2">
        <v>114156</v>
      </c>
      <c r="B11" s="2">
        <v>5</v>
      </c>
      <c r="C11" s="2">
        <v>5</v>
      </c>
      <c r="D11" s="2">
        <v>6</v>
      </c>
      <c r="E11" s="2">
        <v>4</v>
      </c>
      <c r="F11" s="2">
        <v>6</v>
      </c>
      <c r="G11" s="2">
        <v>7</v>
      </c>
      <c r="H11" s="2">
        <v>7</v>
      </c>
      <c r="I11" s="2">
        <v>4</v>
      </c>
      <c r="J11" s="2">
        <v>7</v>
      </c>
      <c r="K11" s="2">
        <v>29</v>
      </c>
      <c r="L11" s="2">
        <v>7.6769299999999996E-4</v>
      </c>
      <c r="M11" s="2">
        <v>1.2046419999999999E-3</v>
      </c>
      <c r="N11" s="2">
        <v>6.1724900000000005E-4</v>
      </c>
      <c r="O11" s="2">
        <v>7.2844200000000004E-4</v>
      </c>
      <c r="P11" s="2">
        <v>1.2046419999999999E-3</v>
      </c>
      <c r="Q11" s="2">
        <v>9.3657099999999997E-4</v>
      </c>
      <c r="R11" s="2">
        <v>1.676105E-3</v>
      </c>
      <c r="S11" s="2">
        <v>7.7057899999999997E-4</v>
      </c>
      <c r="T11" s="2">
        <v>1.0602980000000001E-3</v>
      </c>
      <c r="U11" s="2">
        <v>1.676105E-3</v>
      </c>
    </row>
    <row r="12" spans="1:61" x14ac:dyDescent="0.4">
      <c r="A12" s="2">
        <v>160347</v>
      </c>
      <c r="B12" s="2">
        <v>5</v>
      </c>
      <c r="C12" s="2">
        <v>4</v>
      </c>
      <c r="D12" s="2">
        <v>5</v>
      </c>
      <c r="E12" s="2">
        <v>6</v>
      </c>
      <c r="F12" s="2">
        <v>6</v>
      </c>
      <c r="G12" s="2">
        <v>6</v>
      </c>
      <c r="H12" s="2">
        <v>6</v>
      </c>
      <c r="I12" s="2">
        <v>4</v>
      </c>
      <c r="J12" s="2">
        <v>7</v>
      </c>
      <c r="K12" s="2">
        <v>29</v>
      </c>
      <c r="L12" s="2">
        <v>3.6856710000000002E-3</v>
      </c>
      <c r="M12" s="2">
        <v>4.4229610000000004E-3</v>
      </c>
      <c r="N12" s="2">
        <v>3.6355910000000001E-3</v>
      </c>
      <c r="O12" s="2">
        <v>3.076376E-3</v>
      </c>
      <c r="P12" s="2">
        <v>4.4229610000000004E-3</v>
      </c>
      <c r="Q12" s="2">
        <v>1.8030489999999999E-3</v>
      </c>
      <c r="R12" s="2">
        <v>1.4516380000000001E-3</v>
      </c>
      <c r="S12" s="2">
        <v>1.868815E-3</v>
      </c>
      <c r="T12" s="2">
        <v>1.488776E-3</v>
      </c>
      <c r="U12" s="2">
        <v>1.868815E-3</v>
      </c>
    </row>
    <row r="13" spans="1:61" x14ac:dyDescent="0.4">
      <c r="A13" s="2">
        <v>162150</v>
      </c>
      <c r="B13" s="2">
        <v>7</v>
      </c>
      <c r="C13" s="2">
        <v>7</v>
      </c>
      <c r="D13" s="2">
        <v>5</v>
      </c>
      <c r="E13" s="2">
        <v>7</v>
      </c>
      <c r="F13" s="2">
        <v>6</v>
      </c>
      <c r="G13" s="2">
        <v>7</v>
      </c>
      <c r="H13" s="2">
        <v>7</v>
      </c>
      <c r="I13" s="2">
        <v>5</v>
      </c>
      <c r="J13" s="2">
        <v>7</v>
      </c>
      <c r="K13" s="2">
        <v>31</v>
      </c>
      <c r="L13" s="2">
        <v>2.4468379999999998E-3</v>
      </c>
      <c r="M13" s="2">
        <v>2.4476929999999999E-3</v>
      </c>
      <c r="N13" s="2">
        <v>1.8391709999999999E-3</v>
      </c>
      <c r="O13" s="2">
        <v>1.613012E-3</v>
      </c>
      <c r="P13" s="2">
        <v>2.4476929999999999E-3</v>
      </c>
      <c r="Q13" s="2">
        <v>3.4367099999999999E-3</v>
      </c>
      <c r="R13" s="2">
        <v>3.7117280000000001E-3</v>
      </c>
      <c r="S13" s="2">
        <v>3.9289090000000004E-3</v>
      </c>
      <c r="T13" s="2">
        <v>3.5776089999999998E-3</v>
      </c>
      <c r="U13" s="2">
        <v>3.9289090000000004E-3</v>
      </c>
    </row>
    <row r="14" spans="1:61" x14ac:dyDescent="0.4">
      <c r="A14" s="2">
        <v>153433</v>
      </c>
      <c r="B14" s="2">
        <v>2</v>
      </c>
      <c r="C14" s="2">
        <v>5</v>
      </c>
      <c r="D14" s="2">
        <v>2</v>
      </c>
      <c r="E14" s="2">
        <v>2</v>
      </c>
      <c r="F14" s="2">
        <v>2</v>
      </c>
      <c r="G14" s="2">
        <v>3</v>
      </c>
      <c r="H14" s="2">
        <v>2</v>
      </c>
      <c r="I14" s="2">
        <v>2</v>
      </c>
      <c r="J14" s="2">
        <v>4</v>
      </c>
      <c r="K14" s="2">
        <v>34</v>
      </c>
      <c r="L14" s="2">
        <v>4.7698599999999999E-4</v>
      </c>
      <c r="M14" s="2">
        <v>4.2330599999999998E-4</v>
      </c>
      <c r="N14" s="2">
        <v>2.9793499999999999E-4</v>
      </c>
      <c r="O14" s="2">
        <v>2.8966000000000002E-4</v>
      </c>
      <c r="P14" s="2">
        <v>4.7698599999999999E-4</v>
      </c>
      <c r="Q14" s="2">
        <v>4.1961580000000002E-3</v>
      </c>
      <c r="R14" s="2">
        <v>4.1463339999999998E-3</v>
      </c>
      <c r="S14" s="2">
        <v>4.1818630000000001E-3</v>
      </c>
      <c r="T14" s="2">
        <v>4.6091420000000001E-3</v>
      </c>
      <c r="U14" s="2">
        <v>4.6091420000000001E-3</v>
      </c>
    </row>
    <row r="15" spans="1:61" x14ac:dyDescent="0.4">
      <c r="A15" s="2">
        <v>102104</v>
      </c>
      <c r="B15" s="2">
        <v>7</v>
      </c>
      <c r="C15" s="2">
        <v>7</v>
      </c>
      <c r="D15" s="2">
        <v>5</v>
      </c>
      <c r="E15" s="2">
        <v>5</v>
      </c>
      <c r="F15" s="2">
        <v>5</v>
      </c>
      <c r="G15" s="2">
        <v>7</v>
      </c>
      <c r="H15" s="2">
        <v>7</v>
      </c>
      <c r="I15" s="2">
        <v>7</v>
      </c>
      <c r="J15" s="2">
        <v>7</v>
      </c>
      <c r="K15" s="2">
        <v>35</v>
      </c>
      <c r="L15" s="2">
        <v>5.7701300000000003E-4</v>
      </c>
      <c r="M15" s="2">
        <v>1.64673E-4</v>
      </c>
      <c r="N15" s="2">
        <v>4.00963E-4</v>
      </c>
      <c r="O15" s="2">
        <v>3.2788000000000001E-4</v>
      </c>
      <c r="P15" s="2">
        <v>5.7701300000000003E-4</v>
      </c>
      <c r="Q15" s="2">
        <v>3.5415160000000002E-3</v>
      </c>
      <c r="R15" s="2">
        <v>3.9814610000000004E-3</v>
      </c>
      <c r="S15" s="2">
        <v>3.504783E-3</v>
      </c>
      <c r="T15" s="2">
        <v>3.4000879999999999E-3</v>
      </c>
      <c r="U15" s="2">
        <v>3.9814610000000004E-3</v>
      </c>
    </row>
    <row r="16" spans="1:61" x14ac:dyDescent="0.4">
      <c r="A16">
        <v>130017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4</v>
      </c>
      <c r="J16">
        <v>7</v>
      </c>
      <c r="K16">
        <v>40</v>
      </c>
      <c r="L16">
        <v>3.599489E-3</v>
      </c>
      <c r="M16">
        <v>3.3865050000000002E-3</v>
      </c>
      <c r="N16">
        <v>2.7920950000000001E-3</v>
      </c>
      <c r="O16">
        <v>2.359922E-3</v>
      </c>
      <c r="P16">
        <v>3.599489E-3</v>
      </c>
      <c r="Q16">
        <v>1.218521E-3</v>
      </c>
      <c r="R16">
        <v>1.574651E-3</v>
      </c>
      <c r="S16">
        <v>9.7027699999999997E-4</v>
      </c>
      <c r="T16">
        <v>7.9388799999999997E-4</v>
      </c>
      <c r="U16">
        <v>1.574651E-3</v>
      </c>
    </row>
    <row r="17" spans="1:61" x14ac:dyDescent="0.4">
      <c r="A17">
        <v>140757</v>
      </c>
      <c r="B17">
        <v>6</v>
      </c>
      <c r="C17">
        <v>5</v>
      </c>
      <c r="D17">
        <v>5</v>
      </c>
      <c r="E17">
        <v>5</v>
      </c>
      <c r="F17">
        <v>5</v>
      </c>
      <c r="G17">
        <v>6</v>
      </c>
      <c r="H17">
        <v>5</v>
      </c>
      <c r="I17">
        <v>4</v>
      </c>
      <c r="J17">
        <v>6</v>
      </c>
      <c r="K17">
        <v>41</v>
      </c>
      <c r="L17">
        <v>2.7791500000000002E-3</v>
      </c>
      <c r="M17">
        <v>2.7759809999999998E-3</v>
      </c>
      <c r="N17">
        <v>2.4152269999999998E-3</v>
      </c>
      <c r="O17">
        <v>2.1192289999999998E-3</v>
      </c>
      <c r="P17">
        <v>2.7791500000000002E-3</v>
      </c>
      <c r="Q17">
        <v>6.7053720000000002E-3</v>
      </c>
      <c r="R17">
        <v>4.9052970000000003E-3</v>
      </c>
      <c r="S17">
        <v>6.6247099999999998E-3</v>
      </c>
      <c r="T17">
        <v>6.5828960000000004E-3</v>
      </c>
      <c r="U17">
        <v>6.7053720000000002E-3</v>
      </c>
    </row>
    <row r="18" spans="1:61" x14ac:dyDescent="0.4">
      <c r="A18">
        <v>164521</v>
      </c>
      <c r="B18">
        <v>5</v>
      </c>
      <c r="C18">
        <v>5</v>
      </c>
      <c r="D18">
        <v>6</v>
      </c>
      <c r="E18">
        <v>6</v>
      </c>
      <c r="F18">
        <v>6</v>
      </c>
      <c r="G18">
        <v>6</v>
      </c>
      <c r="H18">
        <v>5</v>
      </c>
      <c r="I18">
        <v>5</v>
      </c>
      <c r="J18">
        <v>6</v>
      </c>
      <c r="K18">
        <v>42</v>
      </c>
      <c r="L18">
        <v>2.0410099999999998E-3</v>
      </c>
      <c r="M18">
        <v>1.4035339999999999E-3</v>
      </c>
      <c r="N18">
        <v>1.8761520000000001E-3</v>
      </c>
      <c r="O18">
        <v>1.826296E-3</v>
      </c>
      <c r="P18">
        <v>2.0410099999999998E-3</v>
      </c>
      <c r="Q18">
        <v>1.776885E-3</v>
      </c>
      <c r="R18">
        <v>2.1030749999999998E-3</v>
      </c>
      <c r="S18">
        <v>1.8072139999999999E-3</v>
      </c>
      <c r="T18">
        <v>2.2149050000000001E-3</v>
      </c>
      <c r="U18">
        <v>2.2149050000000001E-3</v>
      </c>
    </row>
    <row r="19" spans="1:61" x14ac:dyDescent="0.4">
      <c r="A19">
        <v>142941</v>
      </c>
      <c r="B19">
        <v>5</v>
      </c>
      <c r="C19">
        <v>3</v>
      </c>
      <c r="D19">
        <v>4</v>
      </c>
      <c r="E19">
        <v>3</v>
      </c>
      <c r="F19">
        <v>3</v>
      </c>
      <c r="G19">
        <v>4</v>
      </c>
      <c r="H19">
        <v>5</v>
      </c>
      <c r="I19">
        <v>4</v>
      </c>
      <c r="J19">
        <v>5</v>
      </c>
      <c r="K19">
        <v>45</v>
      </c>
      <c r="L19">
        <v>2.965175E-3</v>
      </c>
      <c r="M19">
        <v>3.0357439999999999E-3</v>
      </c>
      <c r="N19">
        <v>2.3381370000000001E-3</v>
      </c>
      <c r="O19">
        <v>1.807344E-3</v>
      </c>
      <c r="P19">
        <v>3.0357439999999999E-3</v>
      </c>
      <c r="Q19">
        <v>1.2857560000000001E-3</v>
      </c>
      <c r="R19">
        <v>8.4652600000000001E-4</v>
      </c>
      <c r="S19">
        <v>1.2687899999999999E-3</v>
      </c>
      <c r="T19">
        <v>1.2221129999999999E-3</v>
      </c>
      <c r="U19">
        <v>1.2857560000000001E-3</v>
      </c>
      <c r="AD19" s="5" t="s">
        <v>21</v>
      </c>
      <c r="AE19" s="5"/>
      <c r="AN19" s="5" t="s">
        <v>21</v>
      </c>
      <c r="AO19" s="5"/>
      <c r="AX19" s="5" t="s">
        <v>26</v>
      </c>
      <c r="AY19" s="5"/>
      <c r="BH19" s="5" t="s">
        <v>21</v>
      </c>
      <c r="BI19" s="5"/>
    </row>
    <row r="20" spans="1:61" x14ac:dyDescent="0.4">
      <c r="A20">
        <v>132755</v>
      </c>
      <c r="B20">
        <v>6</v>
      </c>
      <c r="C20">
        <v>6</v>
      </c>
      <c r="D20">
        <v>6</v>
      </c>
      <c r="E20">
        <v>6</v>
      </c>
      <c r="F20">
        <v>7</v>
      </c>
      <c r="G20">
        <v>6</v>
      </c>
      <c r="H20">
        <v>6</v>
      </c>
      <c r="I20">
        <v>6</v>
      </c>
      <c r="J20">
        <v>7</v>
      </c>
      <c r="K20">
        <v>46</v>
      </c>
      <c r="L20">
        <v>3.6342010000000001E-3</v>
      </c>
      <c r="M20">
        <v>4.3734749999999999E-3</v>
      </c>
      <c r="N20">
        <v>2.706328E-3</v>
      </c>
      <c r="O20">
        <v>2.3225239999999999E-3</v>
      </c>
      <c r="P20">
        <v>4.3734749999999999E-3</v>
      </c>
      <c r="Q20">
        <v>6.8924399999999999E-4</v>
      </c>
      <c r="R20">
        <v>5.0964399999999996E-4</v>
      </c>
      <c r="S20">
        <v>6.7601499999999997E-4</v>
      </c>
      <c r="T20">
        <v>4.7376999999999999E-4</v>
      </c>
      <c r="U20">
        <v>6.8924399999999999E-4</v>
      </c>
      <c r="AD20" t="s">
        <v>22</v>
      </c>
      <c r="AE20" s="5">
        <f>COUNT(F24:F43)</f>
        <v>20</v>
      </c>
      <c r="AN20" t="s">
        <v>22</v>
      </c>
      <c r="AO20" s="5">
        <f>COUNT(F24:F43)</f>
        <v>20</v>
      </c>
      <c r="AX20" t="s">
        <v>22</v>
      </c>
      <c r="AY20" s="5">
        <f>COUNT(U24:U43)</f>
        <v>20</v>
      </c>
      <c r="BH20" t="s">
        <v>22</v>
      </c>
      <c r="BI20" s="5">
        <f>COUNT(G24:G43)</f>
        <v>20</v>
      </c>
    </row>
    <row r="21" spans="1:61" x14ac:dyDescent="0.4">
      <c r="A21">
        <v>144033</v>
      </c>
      <c r="B21">
        <v>6</v>
      </c>
      <c r="C21">
        <v>6</v>
      </c>
      <c r="D21">
        <v>6</v>
      </c>
      <c r="E21">
        <v>6</v>
      </c>
      <c r="F21">
        <v>5</v>
      </c>
      <c r="G21">
        <v>6</v>
      </c>
      <c r="H21">
        <v>6</v>
      </c>
      <c r="I21">
        <v>6</v>
      </c>
      <c r="J21">
        <v>5</v>
      </c>
      <c r="K21">
        <v>49</v>
      </c>
      <c r="L21">
        <v>4.2101400000000002E-3</v>
      </c>
      <c r="M21">
        <v>3.4907860000000001E-3</v>
      </c>
      <c r="N21">
        <v>4.2651190000000004E-3</v>
      </c>
      <c r="O21">
        <v>3.397111E-3</v>
      </c>
      <c r="P21">
        <v>4.2651190000000004E-3</v>
      </c>
      <c r="Q21">
        <v>2.7846939999999999E-3</v>
      </c>
      <c r="R21">
        <v>2.2674320000000002E-3</v>
      </c>
      <c r="S21">
        <v>2.4259500000000001E-3</v>
      </c>
      <c r="T21">
        <v>1.75256E-3</v>
      </c>
      <c r="U21">
        <v>2.7846939999999999E-3</v>
      </c>
      <c r="AD21" t="s">
        <v>23</v>
      </c>
      <c r="AE21" s="5">
        <f>CORREL(F24:F43,P24:P43)</f>
        <v>0.42898232418653959</v>
      </c>
      <c r="AN21" t="s">
        <v>23</v>
      </c>
      <c r="AO21" s="5">
        <f>CORREL(F24:F43,U24:U43)</f>
        <v>3.7145098278229878E-2</v>
      </c>
      <c r="AX21" t="s">
        <v>23</v>
      </c>
      <c r="AY21" s="5">
        <f>CORREL(P24:P43,G24:G43)</f>
        <v>0.55302740564027164</v>
      </c>
      <c r="BH21" t="s">
        <v>23</v>
      </c>
      <c r="BI21" s="5">
        <f>CORREL(G24:G43,U24:U43)</f>
        <v>-0.41814094870224561</v>
      </c>
    </row>
    <row r="22" spans="1:61" x14ac:dyDescent="0.4">
      <c r="A22">
        <v>162755</v>
      </c>
      <c r="B22">
        <v>7</v>
      </c>
      <c r="C22">
        <v>7</v>
      </c>
      <c r="D22">
        <v>7</v>
      </c>
      <c r="E22">
        <v>7</v>
      </c>
      <c r="F22">
        <v>7</v>
      </c>
      <c r="G22">
        <v>7</v>
      </c>
      <c r="H22">
        <v>5</v>
      </c>
      <c r="I22">
        <v>6</v>
      </c>
      <c r="J22">
        <v>7</v>
      </c>
      <c r="K22">
        <v>49</v>
      </c>
      <c r="L22">
        <v>1.0793440000000001E-3</v>
      </c>
      <c r="M22">
        <v>1.3987369999999999E-3</v>
      </c>
      <c r="N22">
        <v>1.22703E-3</v>
      </c>
      <c r="O22">
        <v>1.294609E-3</v>
      </c>
      <c r="P22">
        <v>1.3987369999999999E-3</v>
      </c>
      <c r="Q22">
        <v>2.3977540000000002E-3</v>
      </c>
      <c r="R22">
        <v>2.4365939999999998E-3</v>
      </c>
      <c r="S22">
        <v>2.573479E-3</v>
      </c>
      <c r="T22">
        <v>2.1893640000000001E-3</v>
      </c>
      <c r="U22">
        <v>2.573479E-3</v>
      </c>
      <c r="AD22" t="s">
        <v>24</v>
      </c>
      <c r="AE22" s="5">
        <f>ABS(AE21)*SQRT(AE20-2)/SQRT(1-AE21*AE21)</f>
        <v>2.0148255337110439</v>
      </c>
      <c r="AN22" t="s">
        <v>24</v>
      </c>
      <c r="AO22" s="5">
        <f>ABS(AO21)*SQRT(AO20-2)/SQRT(1-AO21*AO21)</f>
        <v>0.15770213825517157</v>
      </c>
      <c r="AX22" t="s">
        <v>24</v>
      </c>
      <c r="AY22" s="5">
        <f>ABS(AY21)*SQRT(AY20-2)/SQRT(1-AY21*AY21)</f>
        <v>2.8161312929502373</v>
      </c>
      <c r="BH22" t="s">
        <v>24</v>
      </c>
      <c r="BI22" s="5">
        <f>ABS(BI21)*SQRT(BI20-2)/SQRT(1-BI21*BI21)</f>
        <v>1.9529465479834058</v>
      </c>
    </row>
    <row r="23" spans="1:61" x14ac:dyDescent="0.4">
      <c r="A23">
        <v>163843</v>
      </c>
      <c r="B23">
        <v>5</v>
      </c>
      <c r="C23">
        <v>7</v>
      </c>
      <c r="D23">
        <v>7</v>
      </c>
      <c r="E23">
        <v>5</v>
      </c>
      <c r="F23">
        <v>6</v>
      </c>
      <c r="G23">
        <v>4</v>
      </c>
      <c r="H23">
        <v>3</v>
      </c>
      <c r="I23">
        <v>3</v>
      </c>
      <c r="J23">
        <v>7</v>
      </c>
      <c r="K23">
        <v>49</v>
      </c>
      <c r="L23">
        <v>2.4452290000000002E-3</v>
      </c>
      <c r="M23">
        <v>2.1894089999999998E-3</v>
      </c>
      <c r="N23">
        <v>1.5491140000000001E-3</v>
      </c>
      <c r="O23">
        <v>1.365537E-3</v>
      </c>
      <c r="P23">
        <v>2.4452290000000002E-3</v>
      </c>
      <c r="Q23">
        <v>9.2225E-4</v>
      </c>
      <c r="R23">
        <v>1.317344E-3</v>
      </c>
      <c r="S23">
        <v>8.5386800000000003E-4</v>
      </c>
      <c r="T23">
        <v>1.2161330000000001E-3</v>
      </c>
      <c r="U23">
        <v>1.317344E-3</v>
      </c>
      <c r="AD23" t="s">
        <v>25</v>
      </c>
      <c r="AE23" s="5">
        <f>TDIST(AE22,AE20-2,2)</f>
        <v>5.9109726841970016E-2</v>
      </c>
      <c r="AN23" t="s">
        <v>25</v>
      </c>
      <c r="AO23" s="5">
        <f>TDIST(AO22,AO20-2,2)</f>
        <v>0.87644713610328717</v>
      </c>
      <c r="AX23" t="s">
        <v>25</v>
      </c>
      <c r="AY23" s="5">
        <f>TDIST(AY22,AY20-2,2)</f>
        <v>1.1434291132817874E-2</v>
      </c>
      <c r="BH23" t="s">
        <v>25</v>
      </c>
      <c r="BI23" s="5">
        <f>TDIST(BI22,BI20-2,2)</f>
        <v>6.6552770848178414E-2</v>
      </c>
    </row>
    <row r="24" spans="1:61" x14ac:dyDescent="0.4">
      <c r="A24" s="4">
        <v>151304</v>
      </c>
      <c r="B24" s="4">
        <v>6</v>
      </c>
      <c r="C24" s="4">
        <v>6</v>
      </c>
      <c r="D24" s="4">
        <v>3</v>
      </c>
      <c r="E24" s="4">
        <v>5</v>
      </c>
      <c r="F24" s="4">
        <v>5</v>
      </c>
      <c r="G24" s="4">
        <v>5</v>
      </c>
      <c r="H24" s="4">
        <v>5</v>
      </c>
      <c r="I24" s="4">
        <v>5</v>
      </c>
      <c r="J24" s="4">
        <v>6</v>
      </c>
      <c r="K24" s="4">
        <v>50</v>
      </c>
      <c r="L24" s="4">
        <v>2.4164920000000001E-3</v>
      </c>
      <c r="M24" s="4">
        <v>2.4842390000000001E-3</v>
      </c>
      <c r="N24" s="4">
        <v>2.4634829999999998E-3</v>
      </c>
      <c r="O24" s="4">
        <v>2.5655529999999999E-3</v>
      </c>
      <c r="P24" s="4">
        <v>2.5655529999999999E-3</v>
      </c>
      <c r="Q24" s="4">
        <v>3.403831E-3</v>
      </c>
      <c r="R24" s="4">
        <v>2.9854700000000001E-3</v>
      </c>
      <c r="S24" s="4">
        <v>3.367732E-3</v>
      </c>
      <c r="T24" s="4">
        <v>3.271276E-3</v>
      </c>
      <c r="U24" s="4">
        <v>3.403831E-3</v>
      </c>
    </row>
    <row r="25" spans="1:61" x14ac:dyDescent="0.4">
      <c r="A25" s="4">
        <v>155638</v>
      </c>
      <c r="B25" s="4">
        <v>4</v>
      </c>
      <c r="C25" s="4">
        <v>4</v>
      </c>
      <c r="D25" s="4">
        <v>5</v>
      </c>
      <c r="E25" s="4">
        <v>6</v>
      </c>
      <c r="F25" s="4">
        <v>5</v>
      </c>
      <c r="G25" s="4">
        <v>4</v>
      </c>
      <c r="H25" s="4">
        <v>5</v>
      </c>
      <c r="I25" s="4">
        <v>6</v>
      </c>
      <c r="J25" s="4">
        <v>6</v>
      </c>
      <c r="K25" s="4">
        <v>51</v>
      </c>
      <c r="L25" s="4">
        <v>4.1536439999999997E-3</v>
      </c>
      <c r="M25" s="4">
        <v>3.2588320000000001E-3</v>
      </c>
      <c r="N25" s="4">
        <v>3.2220999999999999E-3</v>
      </c>
      <c r="O25" s="4">
        <v>3.3826820000000001E-3</v>
      </c>
      <c r="P25" s="4">
        <v>4.1536439999999997E-3</v>
      </c>
      <c r="Q25" s="4">
        <v>6.7828400000000003E-4</v>
      </c>
      <c r="R25" s="4">
        <v>1.0131980000000001E-3</v>
      </c>
      <c r="S25" s="4">
        <v>8.3558600000000003E-4</v>
      </c>
      <c r="T25" s="4">
        <v>5.1798600000000001E-4</v>
      </c>
      <c r="U25" s="4">
        <v>1.0131980000000001E-3</v>
      </c>
    </row>
    <row r="26" spans="1:61" x14ac:dyDescent="0.4">
      <c r="A26" s="4">
        <v>131828</v>
      </c>
      <c r="B26" s="4">
        <v>2</v>
      </c>
      <c r="C26" s="4">
        <v>4</v>
      </c>
      <c r="D26" s="4">
        <v>3</v>
      </c>
      <c r="E26" s="4">
        <v>3</v>
      </c>
      <c r="F26" s="4">
        <v>4</v>
      </c>
      <c r="G26" s="4">
        <v>4</v>
      </c>
      <c r="H26" s="4">
        <v>4</v>
      </c>
      <c r="I26" s="4">
        <v>4</v>
      </c>
      <c r="J26" s="4">
        <v>6</v>
      </c>
      <c r="K26" s="4">
        <v>53</v>
      </c>
      <c r="L26" s="4">
        <v>4.8289769999999999E-3</v>
      </c>
      <c r="M26" s="4">
        <v>4.16564E-3</v>
      </c>
      <c r="N26" s="4">
        <v>4.5417620000000004E-3</v>
      </c>
      <c r="O26" s="4">
        <v>4.3140139999999997E-3</v>
      </c>
      <c r="P26" s="4">
        <v>4.8289769999999999E-3</v>
      </c>
      <c r="Q26" s="4">
        <v>8.9388300000000005E-4</v>
      </c>
      <c r="R26" s="4">
        <v>5.1835200000000003E-4</v>
      </c>
      <c r="S26" s="4">
        <v>1.04565E-3</v>
      </c>
      <c r="T26" s="4">
        <v>1.2213059999999999E-3</v>
      </c>
      <c r="U26" s="4">
        <v>1.2213059999999999E-3</v>
      </c>
    </row>
    <row r="27" spans="1:61" x14ac:dyDescent="0.4">
      <c r="A27" s="4">
        <v>143819</v>
      </c>
      <c r="B27" s="4">
        <v>4</v>
      </c>
      <c r="C27" s="4">
        <v>7</v>
      </c>
      <c r="D27" s="4">
        <v>5</v>
      </c>
      <c r="E27" s="4">
        <v>6</v>
      </c>
      <c r="F27" s="4">
        <v>6</v>
      </c>
      <c r="G27" s="4">
        <v>5</v>
      </c>
      <c r="H27" s="4">
        <v>5</v>
      </c>
      <c r="I27" s="4">
        <v>4</v>
      </c>
      <c r="J27" s="4">
        <v>5</v>
      </c>
      <c r="K27" s="4">
        <v>53</v>
      </c>
      <c r="L27" s="4">
        <v>1.9568260000000001E-3</v>
      </c>
      <c r="M27" s="4">
        <v>1.30284E-3</v>
      </c>
      <c r="N27" s="4">
        <v>1.211735E-3</v>
      </c>
      <c r="O27" s="4">
        <v>9.6919599999999997E-4</v>
      </c>
      <c r="P27" s="4">
        <v>1.9568260000000001E-3</v>
      </c>
      <c r="Q27" s="4">
        <v>1.66507E-3</v>
      </c>
      <c r="R27" s="4">
        <v>1.3953240000000001E-3</v>
      </c>
      <c r="S27" s="4">
        <v>1.5715760000000001E-3</v>
      </c>
      <c r="T27" s="4">
        <v>1.72926E-3</v>
      </c>
      <c r="U27" s="4">
        <v>1.72926E-3</v>
      </c>
    </row>
    <row r="28" spans="1:61" x14ac:dyDescent="0.4">
      <c r="A28" s="4">
        <v>150548</v>
      </c>
      <c r="B28" s="4">
        <v>2</v>
      </c>
      <c r="C28" s="4">
        <v>4</v>
      </c>
      <c r="D28" s="4">
        <v>3</v>
      </c>
      <c r="E28" s="4">
        <v>3</v>
      </c>
      <c r="F28" s="4">
        <v>3</v>
      </c>
      <c r="G28" s="4">
        <v>4</v>
      </c>
      <c r="H28" s="4">
        <v>3</v>
      </c>
      <c r="I28" s="4">
        <v>4</v>
      </c>
      <c r="J28" s="4">
        <v>5</v>
      </c>
      <c r="K28" s="4">
        <v>53</v>
      </c>
      <c r="L28" s="4">
        <v>1.056125E-3</v>
      </c>
      <c r="M28" s="4">
        <v>1.246839E-3</v>
      </c>
      <c r="N28" s="4">
        <v>8.3193700000000004E-4</v>
      </c>
      <c r="O28" s="4">
        <v>4.91984E-4</v>
      </c>
      <c r="P28" s="4">
        <v>1.246839E-3</v>
      </c>
      <c r="Q28" s="4">
        <v>1.7240980000000001E-3</v>
      </c>
      <c r="R28" s="4">
        <v>1.2478560000000001E-3</v>
      </c>
      <c r="S28" s="4">
        <v>1.892814E-3</v>
      </c>
      <c r="T28" s="4">
        <v>1.507904E-3</v>
      </c>
      <c r="U28" s="4">
        <v>1.892814E-3</v>
      </c>
    </row>
    <row r="29" spans="1:61" x14ac:dyDescent="0.4">
      <c r="A29" s="4">
        <v>155115</v>
      </c>
      <c r="B29" s="4">
        <v>5</v>
      </c>
      <c r="C29" s="4">
        <v>4</v>
      </c>
      <c r="D29" s="4">
        <v>5</v>
      </c>
      <c r="E29" s="4">
        <v>5</v>
      </c>
      <c r="F29" s="4">
        <v>5</v>
      </c>
      <c r="G29" s="4">
        <v>3</v>
      </c>
      <c r="H29" s="4">
        <v>5</v>
      </c>
      <c r="I29" s="4">
        <v>3</v>
      </c>
      <c r="J29" s="4">
        <v>5</v>
      </c>
      <c r="K29" s="4">
        <v>53</v>
      </c>
      <c r="L29" s="4">
        <v>2.1982989999999999E-3</v>
      </c>
      <c r="M29" s="4">
        <v>1.679594E-3</v>
      </c>
      <c r="N29" s="4">
        <v>2.2317589999999998E-3</v>
      </c>
      <c r="O29" s="4">
        <v>2.2566219999999998E-3</v>
      </c>
      <c r="P29" s="4">
        <v>2.2566219999999998E-3</v>
      </c>
      <c r="Q29" s="4">
        <v>3.8189690000000002E-3</v>
      </c>
      <c r="R29" s="4">
        <v>4.2559440000000002E-3</v>
      </c>
      <c r="S29" s="4">
        <v>3.9781460000000001E-3</v>
      </c>
      <c r="T29" s="4">
        <v>3.984423E-3</v>
      </c>
      <c r="U29" s="4">
        <v>4.2559440000000002E-3</v>
      </c>
    </row>
    <row r="30" spans="1:61" x14ac:dyDescent="0.4">
      <c r="A30" s="4">
        <v>165308</v>
      </c>
      <c r="B30" s="4">
        <v>5</v>
      </c>
      <c r="C30" s="4">
        <v>6</v>
      </c>
      <c r="D30" s="4">
        <v>2</v>
      </c>
      <c r="E30" s="4">
        <v>2</v>
      </c>
      <c r="F30" s="4">
        <v>3</v>
      </c>
      <c r="G30" s="4">
        <v>6</v>
      </c>
      <c r="H30" s="4">
        <v>4</v>
      </c>
      <c r="I30" s="4">
        <v>4</v>
      </c>
      <c r="J30" s="4">
        <v>6</v>
      </c>
      <c r="K30" s="4">
        <v>53</v>
      </c>
      <c r="L30" s="4">
        <v>2.8066979999999998E-3</v>
      </c>
      <c r="M30" s="4">
        <v>2.476209E-3</v>
      </c>
      <c r="N30" s="4">
        <v>2.5858750000000001E-3</v>
      </c>
      <c r="O30" s="4">
        <v>2.2720650000000002E-3</v>
      </c>
      <c r="P30" s="4">
        <v>2.8066979999999998E-3</v>
      </c>
      <c r="Q30" s="4">
        <v>7.1362200000000002E-4</v>
      </c>
      <c r="R30" s="4">
        <v>9.86261E-4</v>
      </c>
      <c r="S30" s="4">
        <v>5.8367399999999996E-4</v>
      </c>
      <c r="T30" s="4">
        <v>6.2302099999999997E-4</v>
      </c>
      <c r="U30" s="4">
        <v>9.86261E-4</v>
      </c>
    </row>
    <row r="31" spans="1:61" x14ac:dyDescent="0.4">
      <c r="A31" s="4">
        <v>152219</v>
      </c>
      <c r="B31" s="4">
        <v>3</v>
      </c>
      <c r="C31" s="4">
        <v>3</v>
      </c>
      <c r="D31" s="4">
        <v>3</v>
      </c>
      <c r="E31" s="4">
        <v>3</v>
      </c>
      <c r="F31" s="4">
        <v>3</v>
      </c>
      <c r="G31" s="4">
        <v>4</v>
      </c>
      <c r="H31" s="4">
        <v>4</v>
      </c>
      <c r="I31" s="4">
        <v>4</v>
      </c>
      <c r="J31" s="4">
        <v>4</v>
      </c>
      <c r="K31" s="4">
        <v>54</v>
      </c>
      <c r="L31" s="4">
        <v>9.7380100000000005E-4</v>
      </c>
      <c r="M31" s="4">
        <v>2.0608499999999999E-3</v>
      </c>
      <c r="N31" s="4">
        <v>1.1274309999999999E-3</v>
      </c>
      <c r="O31" s="4">
        <v>1.0391059999999999E-3</v>
      </c>
      <c r="P31" s="4">
        <v>2.0608499999999999E-3</v>
      </c>
      <c r="Q31" s="4">
        <v>9.1796399999999995E-4</v>
      </c>
      <c r="R31" s="4">
        <v>1.0614039999999999E-3</v>
      </c>
      <c r="S31" s="4">
        <v>8.8882200000000005E-4</v>
      </c>
      <c r="T31" s="4">
        <v>8.1103499999999999E-4</v>
      </c>
      <c r="U31" s="4">
        <v>1.0614039999999999E-3</v>
      </c>
    </row>
    <row r="32" spans="1:61" x14ac:dyDescent="0.4">
      <c r="A32" s="4">
        <v>111932</v>
      </c>
      <c r="B32" s="4">
        <v>6</v>
      </c>
      <c r="C32" s="4">
        <v>3</v>
      </c>
      <c r="D32" s="4">
        <v>5</v>
      </c>
      <c r="E32" s="4">
        <v>5</v>
      </c>
      <c r="F32" s="4">
        <v>4</v>
      </c>
      <c r="G32" s="4">
        <v>3</v>
      </c>
      <c r="H32" s="4">
        <v>5</v>
      </c>
      <c r="I32" s="4">
        <v>3</v>
      </c>
      <c r="J32" s="4">
        <v>4</v>
      </c>
      <c r="K32" s="4">
        <v>55</v>
      </c>
      <c r="L32" s="4">
        <v>1.7088050000000001E-3</v>
      </c>
      <c r="M32" s="4">
        <v>1.9318549999999999E-3</v>
      </c>
      <c r="N32" s="4">
        <v>1.6830199999999999E-3</v>
      </c>
      <c r="O32" s="4">
        <v>1.722873E-3</v>
      </c>
      <c r="P32" s="4">
        <v>1.9318549999999999E-3</v>
      </c>
      <c r="Q32" s="4">
        <v>5.6623589999999996E-3</v>
      </c>
      <c r="R32" s="4">
        <v>6.626898E-3</v>
      </c>
      <c r="S32" s="4">
        <v>6.3590720000000003E-3</v>
      </c>
      <c r="T32" s="4">
        <v>6.0989529999999998E-3</v>
      </c>
      <c r="U32" s="4">
        <v>6.626898E-3</v>
      </c>
      <c r="AD32" s="5" t="s">
        <v>21</v>
      </c>
      <c r="AE32" s="5"/>
      <c r="AN32" s="5" t="s">
        <v>21</v>
      </c>
      <c r="AO32" s="5"/>
      <c r="AX32" s="5" t="s">
        <v>26</v>
      </c>
      <c r="AY32" s="5"/>
      <c r="BH32" s="5" t="s">
        <v>21</v>
      </c>
      <c r="BI32" s="5"/>
    </row>
    <row r="33" spans="1:61" x14ac:dyDescent="0.4">
      <c r="A33" s="4">
        <v>100404</v>
      </c>
      <c r="B33" s="4">
        <v>7</v>
      </c>
      <c r="C33" s="4">
        <v>7</v>
      </c>
      <c r="D33" s="4">
        <v>7</v>
      </c>
      <c r="E33" s="4">
        <v>7</v>
      </c>
      <c r="F33" s="4">
        <v>7</v>
      </c>
      <c r="G33" s="4">
        <v>7</v>
      </c>
      <c r="H33" s="4">
        <v>7</v>
      </c>
      <c r="I33" s="4">
        <v>7</v>
      </c>
      <c r="J33" s="4">
        <v>7</v>
      </c>
      <c r="K33" s="4">
        <v>56</v>
      </c>
      <c r="L33" s="4">
        <v>4.826505E-3</v>
      </c>
      <c r="M33" s="4">
        <v>5.3271830000000001E-3</v>
      </c>
      <c r="N33" s="4">
        <v>4.4053340000000003E-3</v>
      </c>
      <c r="O33" s="4">
        <v>4.0644569999999996E-3</v>
      </c>
      <c r="P33" s="4">
        <v>5.3271830000000001E-3</v>
      </c>
      <c r="Q33" s="4">
        <v>1.8428920000000001E-3</v>
      </c>
      <c r="R33" s="4">
        <v>2.7940069999999998E-3</v>
      </c>
      <c r="S33" s="4">
        <v>1.7638179999999999E-3</v>
      </c>
      <c r="T33" s="4">
        <v>1.6074629999999999E-3</v>
      </c>
      <c r="U33" s="4">
        <v>2.7940069999999998E-3</v>
      </c>
      <c r="AD33" t="s">
        <v>22</v>
      </c>
      <c r="AE33" s="5">
        <f>COUNT(F2:F43)</f>
        <v>42</v>
      </c>
      <c r="AN33" t="s">
        <v>22</v>
      </c>
      <c r="AO33" s="5">
        <f>COUNT(F2:F43)</f>
        <v>42</v>
      </c>
      <c r="AX33" t="s">
        <v>22</v>
      </c>
      <c r="AY33" s="5">
        <f>COUNT(U2:U43)</f>
        <v>42</v>
      </c>
      <c r="BH33" t="s">
        <v>22</v>
      </c>
      <c r="BI33" s="5">
        <f>COUNT(G2:G43)</f>
        <v>42</v>
      </c>
    </row>
    <row r="34" spans="1:61" x14ac:dyDescent="0.4">
      <c r="A34" s="4">
        <v>164627</v>
      </c>
      <c r="B34" s="4">
        <v>5</v>
      </c>
      <c r="C34" s="4">
        <v>7</v>
      </c>
      <c r="D34" s="4">
        <v>6</v>
      </c>
      <c r="E34" s="4">
        <v>5</v>
      </c>
      <c r="F34" s="4">
        <v>6</v>
      </c>
      <c r="G34" s="4">
        <v>6</v>
      </c>
      <c r="H34" s="4">
        <v>6</v>
      </c>
      <c r="I34" s="4">
        <v>5</v>
      </c>
      <c r="J34" s="4">
        <v>7</v>
      </c>
      <c r="K34" s="4">
        <v>56</v>
      </c>
      <c r="L34" s="4">
        <v>4.2356690000000001E-3</v>
      </c>
      <c r="M34" s="4">
        <v>2.4915929999999998E-3</v>
      </c>
      <c r="N34" s="4">
        <v>3.5484240000000001E-3</v>
      </c>
      <c r="O34" s="4">
        <v>3.0718730000000001E-3</v>
      </c>
      <c r="P34" s="4">
        <v>4.2356690000000001E-3</v>
      </c>
      <c r="Q34" s="4">
        <v>2.5775239999999999E-3</v>
      </c>
      <c r="R34" s="4">
        <v>1.4797460000000001E-3</v>
      </c>
      <c r="S34" s="4">
        <v>2.3421449999999999E-3</v>
      </c>
      <c r="T34" s="4">
        <v>2.8238619999999999E-3</v>
      </c>
      <c r="U34" s="4">
        <v>2.8238619999999999E-3</v>
      </c>
      <c r="AD34" t="s">
        <v>23</v>
      </c>
      <c r="AE34" s="5">
        <f>CORREL(F2:F43,P2:P43)</f>
        <v>0.14398763833463124</v>
      </c>
      <c r="AN34" t="s">
        <v>23</v>
      </c>
      <c r="AO34" s="5">
        <f>CORREL(F2:F43,U2:U43)</f>
        <v>-0.11581771235178456</v>
      </c>
      <c r="AX34" t="s">
        <v>23</v>
      </c>
      <c r="AY34" s="5">
        <f>CORREL(P2:P43,G2:G43)</f>
        <v>1.4687092345918699E-2</v>
      </c>
      <c r="BH34" t="s">
        <v>23</v>
      </c>
      <c r="BI34" s="5">
        <f>CORREL(G2:G43,U2:U43)</f>
        <v>-0.10871929714319832</v>
      </c>
    </row>
    <row r="35" spans="1:61" x14ac:dyDescent="0.4">
      <c r="A35" s="4">
        <v>132210</v>
      </c>
      <c r="B35" s="4">
        <v>6</v>
      </c>
      <c r="C35" s="4">
        <v>5</v>
      </c>
      <c r="D35" s="4">
        <v>4</v>
      </c>
      <c r="E35" s="4">
        <v>5</v>
      </c>
      <c r="F35" s="4">
        <v>4</v>
      </c>
      <c r="G35" s="4">
        <v>4</v>
      </c>
      <c r="H35" s="4">
        <v>5</v>
      </c>
      <c r="I35" s="4">
        <v>3</v>
      </c>
      <c r="J35" s="4">
        <v>4</v>
      </c>
      <c r="K35" s="4">
        <v>58</v>
      </c>
      <c r="L35" s="4">
        <v>5.1377080000000004E-3</v>
      </c>
      <c r="M35" s="4">
        <v>3.8898539999999999E-3</v>
      </c>
      <c r="N35" s="4">
        <v>4.9215379999999996E-3</v>
      </c>
      <c r="O35" s="4">
        <v>4.170605E-3</v>
      </c>
      <c r="P35" s="4">
        <v>5.1377080000000004E-3</v>
      </c>
      <c r="Q35" s="4">
        <v>1.451461E-3</v>
      </c>
      <c r="R35" s="4">
        <v>1.355106E-3</v>
      </c>
      <c r="S35" s="4">
        <v>1.5013100000000001E-3</v>
      </c>
      <c r="T35" s="4">
        <v>9.3788599999999997E-4</v>
      </c>
      <c r="U35" s="4">
        <v>1.5013100000000001E-3</v>
      </c>
      <c r="AD35" t="s">
        <v>24</v>
      </c>
      <c r="AE35" s="5">
        <f>ABS(AE34)*SQRT(AE33-2)/SQRT(1-AE34*AE34)</f>
        <v>0.92024723284933485</v>
      </c>
      <c r="AN35" t="s">
        <v>24</v>
      </c>
      <c r="AO35" s="5">
        <f>ABS(AO34)*SQRT(AO33-2)/SQRT(1-AO34*AO34)</f>
        <v>0.73745826487831112</v>
      </c>
      <c r="AX35" t="s">
        <v>24</v>
      </c>
      <c r="AY35" s="5">
        <f>ABS(AY34)*SQRT(AY33-2)/SQRT(1-AY34*AY34)</f>
        <v>9.2899348267920762E-2</v>
      </c>
      <c r="BH35" t="s">
        <v>24</v>
      </c>
      <c r="BI35" s="5">
        <f>ABS(BI34)*SQRT(BI33-2)/SQRT(1-BI34*BI34)</f>
        <v>0.69170127572834483</v>
      </c>
    </row>
    <row r="36" spans="1:61" x14ac:dyDescent="0.4">
      <c r="A36" s="4">
        <v>131258</v>
      </c>
      <c r="B36" s="4">
        <v>5</v>
      </c>
      <c r="C36" s="4">
        <v>3</v>
      </c>
      <c r="D36" s="4">
        <v>4</v>
      </c>
      <c r="E36" s="4">
        <v>3</v>
      </c>
      <c r="F36" s="4">
        <v>2</v>
      </c>
      <c r="G36" s="4">
        <v>2</v>
      </c>
      <c r="H36" s="4">
        <v>4</v>
      </c>
      <c r="I36" s="4">
        <v>3</v>
      </c>
      <c r="J36" s="4">
        <v>4</v>
      </c>
      <c r="K36" s="4">
        <v>60</v>
      </c>
      <c r="L36" s="4">
        <v>5.1975399999999998E-4</v>
      </c>
      <c r="M36" s="4">
        <v>1.16544E-4</v>
      </c>
      <c r="N36" s="4">
        <v>3.7345100000000001E-4</v>
      </c>
      <c r="O36" s="4">
        <v>3.0810599999999999E-4</v>
      </c>
      <c r="P36" s="4">
        <v>5.1975399999999998E-4</v>
      </c>
      <c r="Q36" s="4">
        <v>3.7092689999999998E-3</v>
      </c>
      <c r="R36" s="4">
        <v>3.2950919999999999E-3</v>
      </c>
      <c r="S36" s="4">
        <v>3.4502809999999999E-3</v>
      </c>
      <c r="T36" s="4">
        <v>3.8011479999999999E-3</v>
      </c>
      <c r="U36" s="4">
        <v>3.8011479999999999E-3</v>
      </c>
      <c r="AD36" t="s">
        <v>25</v>
      </c>
      <c r="AE36" s="5">
        <f>TDIST(AE35,AE33-2,2)</f>
        <v>0.36296037368432876</v>
      </c>
      <c r="AN36" t="s">
        <v>25</v>
      </c>
      <c r="AO36" s="5">
        <f>TDIST(AO35,AO33-2,2)</f>
        <v>0.4651479462319571</v>
      </c>
      <c r="AX36" t="s">
        <v>25</v>
      </c>
      <c r="AY36" s="5">
        <f>TDIST(AY35,AY33-2,2)</f>
        <v>0.9264472708981033</v>
      </c>
      <c r="BH36" t="s">
        <v>25</v>
      </c>
      <c r="BI36" s="5">
        <f>TDIST(BI35,BI33-2,2)</f>
        <v>0.49312052630944692</v>
      </c>
    </row>
    <row r="37" spans="1:61" x14ac:dyDescent="0.4">
      <c r="A37" s="4">
        <v>132531</v>
      </c>
      <c r="B37" s="4">
        <v>6</v>
      </c>
      <c r="C37" s="4">
        <v>6</v>
      </c>
      <c r="D37" s="4">
        <v>6</v>
      </c>
      <c r="E37" s="4">
        <v>6</v>
      </c>
      <c r="F37" s="4">
        <v>6</v>
      </c>
      <c r="G37" s="4">
        <v>7</v>
      </c>
      <c r="H37" s="4">
        <v>7</v>
      </c>
      <c r="I37" s="4">
        <v>6</v>
      </c>
      <c r="J37" s="4">
        <v>7</v>
      </c>
      <c r="K37" s="4">
        <v>60</v>
      </c>
      <c r="L37" s="4">
        <v>3.548846E-3</v>
      </c>
      <c r="M37" s="4">
        <v>3.2673749999999999E-3</v>
      </c>
      <c r="N37" s="4">
        <v>3.1812089999999999E-3</v>
      </c>
      <c r="O37" s="4">
        <v>3.6163419999999998E-3</v>
      </c>
      <c r="P37" s="4">
        <v>3.6163419999999998E-3</v>
      </c>
      <c r="Q37" s="4">
        <v>1.725842E-3</v>
      </c>
      <c r="R37" s="4">
        <v>1.3300880000000001E-3</v>
      </c>
      <c r="S37" s="4">
        <v>2.0702279999999999E-3</v>
      </c>
      <c r="T37" s="4">
        <v>1.8199920000000001E-3</v>
      </c>
      <c r="U37" s="4">
        <v>2.0702279999999999E-3</v>
      </c>
    </row>
    <row r="38" spans="1:61" x14ac:dyDescent="0.4">
      <c r="A38" s="4">
        <v>151743</v>
      </c>
      <c r="B38" s="4">
        <v>7</v>
      </c>
      <c r="C38" s="4">
        <v>7</v>
      </c>
      <c r="D38" s="4">
        <v>7</v>
      </c>
      <c r="E38" s="4">
        <v>7</v>
      </c>
      <c r="F38" s="4">
        <v>7</v>
      </c>
      <c r="G38" s="4">
        <v>4</v>
      </c>
      <c r="H38" s="4">
        <v>7</v>
      </c>
      <c r="I38" s="4">
        <v>7</v>
      </c>
      <c r="J38" s="4">
        <v>7</v>
      </c>
      <c r="K38" s="4">
        <v>61</v>
      </c>
      <c r="L38" s="4">
        <v>1.954468E-3</v>
      </c>
      <c r="M38" s="4">
        <v>1.755461E-3</v>
      </c>
      <c r="N38" s="4">
        <v>1.997291E-3</v>
      </c>
      <c r="O38" s="4">
        <v>1.5142339999999999E-3</v>
      </c>
      <c r="P38" s="4">
        <v>1.997291E-3</v>
      </c>
      <c r="Q38" s="4">
        <v>3.0787229999999998E-3</v>
      </c>
      <c r="R38" s="4">
        <v>2.2952179999999999E-3</v>
      </c>
      <c r="S38" s="4">
        <v>3.1745229999999998E-3</v>
      </c>
      <c r="T38" s="4">
        <v>3.195453E-3</v>
      </c>
      <c r="U38" s="4">
        <v>3.195453E-3</v>
      </c>
    </row>
    <row r="39" spans="1:61" x14ac:dyDescent="0.4">
      <c r="A39" s="4">
        <v>152435</v>
      </c>
      <c r="B39" s="4">
        <v>5</v>
      </c>
      <c r="C39" s="4">
        <v>4</v>
      </c>
      <c r="D39" s="4">
        <v>5</v>
      </c>
      <c r="E39" s="4">
        <v>5</v>
      </c>
      <c r="F39" s="4">
        <v>4</v>
      </c>
      <c r="G39" s="4">
        <v>4</v>
      </c>
      <c r="H39" s="4">
        <v>4</v>
      </c>
      <c r="I39" s="4">
        <v>5</v>
      </c>
      <c r="J39" s="4">
        <v>6</v>
      </c>
      <c r="K39" s="4">
        <v>62</v>
      </c>
      <c r="L39" s="4">
        <v>2.6815900000000002E-3</v>
      </c>
      <c r="M39" s="4">
        <v>2.7853520000000001E-3</v>
      </c>
      <c r="N39" s="4">
        <v>2.7279159999999999E-3</v>
      </c>
      <c r="O39" s="4">
        <v>2.7017930000000001E-3</v>
      </c>
      <c r="P39" s="4">
        <v>2.7853520000000001E-3</v>
      </c>
      <c r="Q39" s="4">
        <v>2.9848190000000001E-3</v>
      </c>
      <c r="R39" s="4">
        <v>2.7348889999999999E-3</v>
      </c>
      <c r="S39" s="4">
        <v>2.99453E-3</v>
      </c>
      <c r="T39" s="4">
        <v>2.9144689999999998E-3</v>
      </c>
      <c r="U39" s="4">
        <v>2.99453E-3</v>
      </c>
    </row>
    <row r="40" spans="1:61" x14ac:dyDescent="0.4">
      <c r="A40" s="4">
        <v>140304</v>
      </c>
      <c r="B40" s="4">
        <v>5</v>
      </c>
      <c r="C40" s="4">
        <v>5</v>
      </c>
      <c r="D40" s="4">
        <v>5</v>
      </c>
      <c r="E40" s="4">
        <v>5</v>
      </c>
      <c r="F40" s="4">
        <v>5</v>
      </c>
      <c r="G40" s="4">
        <v>5</v>
      </c>
      <c r="H40" s="4">
        <v>5</v>
      </c>
      <c r="I40" s="4">
        <v>5</v>
      </c>
      <c r="J40" s="4">
        <v>5</v>
      </c>
      <c r="K40" s="4">
        <v>65</v>
      </c>
      <c r="L40" s="4">
        <v>3.375346E-3</v>
      </c>
      <c r="M40" s="4">
        <v>3.4690120000000001E-3</v>
      </c>
      <c r="N40" s="4">
        <v>2.8431939999999998E-3</v>
      </c>
      <c r="O40" s="4">
        <v>2.6013880000000001E-3</v>
      </c>
      <c r="P40" s="4">
        <v>3.4690120000000001E-3</v>
      </c>
      <c r="Q40" s="4">
        <v>8.6436499999999997E-4</v>
      </c>
      <c r="R40" s="4">
        <v>5.2541100000000004E-4</v>
      </c>
      <c r="S40" s="4">
        <v>5.8932600000000004E-4</v>
      </c>
      <c r="T40" s="4">
        <v>5.8585400000000002E-4</v>
      </c>
      <c r="U40" s="4">
        <v>8.6436499999999997E-4</v>
      </c>
    </row>
    <row r="41" spans="1:61" x14ac:dyDescent="0.4">
      <c r="A41" s="4">
        <v>161440</v>
      </c>
      <c r="B41" s="4">
        <v>4</v>
      </c>
      <c r="C41" s="4">
        <v>7</v>
      </c>
      <c r="D41" s="4">
        <v>5</v>
      </c>
      <c r="E41" s="4">
        <v>5</v>
      </c>
      <c r="F41" s="4">
        <v>5</v>
      </c>
      <c r="G41" s="4">
        <v>4</v>
      </c>
      <c r="H41" s="4">
        <v>4</v>
      </c>
      <c r="I41" s="4">
        <v>4</v>
      </c>
      <c r="J41" s="4">
        <v>6</v>
      </c>
      <c r="K41" s="4">
        <v>76</v>
      </c>
      <c r="L41" s="4">
        <v>2.6996239999999999E-3</v>
      </c>
      <c r="M41" s="4">
        <v>2.2192940000000001E-3</v>
      </c>
      <c r="N41" s="4">
        <v>2.352757E-3</v>
      </c>
      <c r="O41" s="4">
        <v>2.081116E-3</v>
      </c>
      <c r="P41" s="4">
        <v>2.6996239999999999E-3</v>
      </c>
      <c r="Q41" s="4">
        <v>2.5645170000000001E-3</v>
      </c>
      <c r="R41" s="4">
        <v>2.4356830000000001E-3</v>
      </c>
      <c r="S41" s="4">
        <v>2.2605419999999999E-3</v>
      </c>
      <c r="T41" s="4">
        <v>2.3997139999999998E-3</v>
      </c>
      <c r="U41" s="4">
        <v>2.5645170000000001E-3</v>
      </c>
    </row>
    <row r="42" spans="1:61" x14ac:dyDescent="0.4">
      <c r="A42" s="4">
        <v>142337</v>
      </c>
      <c r="B42" s="4">
        <v>7</v>
      </c>
      <c r="C42" s="4">
        <v>7</v>
      </c>
      <c r="D42" s="4">
        <v>7</v>
      </c>
      <c r="E42" s="4">
        <v>7</v>
      </c>
      <c r="F42" s="4">
        <v>5</v>
      </c>
      <c r="G42" s="4">
        <v>6</v>
      </c>
      <c r="H42" s="4">
        <v>5</v>
      </c>
      <c r="I42" s="4">
        <v>7</v>
      </c>
      <c r="J42" s="4">
        <v>7</v>
      </c>
      <c r="K42" s="4">
        <v>79</v>
      </c>
      <c r="L42" s="4">
        <v>2.9634259999999999E-3</v>
      </c>
      <c r="M42" s="4">
        <v>3.5695990000000001E-3</v>
      </c>
      <c r="N42" s="4">
        <v>2.5189650000000002E-3</v>
      </c>
      <c r="O42" s="4">
        <v>1.730423E-3</v>
      </c>
      <c r="P42" s="4">
        <v>3.5695990000000001E-3</v>
      </c>
      <c r="Q42" s="4">
        <v>9.7945900000000002E-4</v>
      </c>
      <c r="R42" s="4">
        <v>9.9412400000000009E-4</v>
      </c>
      <c r="S42" s="4">
        <v>9.1055499999999996E-4</v>
      </c>
      <c r="T42" s="4">
        <v>6.2289500000000005E-4</v>
      </c>
      <c r="U42" s="4">
        <v>9.9412400000000009E-4</v>
      </c>
    </row>
    <row r="43" spans="1:61" x14ac:dyDescent="0.4">
      <c r="A43" s="4">
        <v>143127</v>
      </c>
      <c r="B43" s="4">
        <v>6</v>
      </c>
      <c r="C43" s="4">
        <v>3</v>
      </c>
      <c r="D43" s="4">
        <v>4</v>
      </c>
      <c r="E43" s="4">
        <v>4</v>
      </c>
      <c r="F43" s="4">
        <v>5</v>
      </c>
      <c r="G43" s="4">
        <v>5</v>
      </c>
      <c r="H43" s="4">
        <v>5</v>
      </c>
      <c r="I43" s="4">
        <v>3</v>
      </c>
      <c r="J43" s="4">
        <v>4</v>
      </c>
      <c r="K43" s="4">
        <v>83</v>
      </c>
      <c r="L43" s="4">
        <v>2.8379870000000001E-3</v>
      </c>
      <c r="M43" s="4">
        <v>3.0519549999999999E-3</v>
      </c>
      <c r="N43" s="4">
        <v>2.6914059999999999E-3</v>
      </c>
      <c r="O43" s="4">
        <v>2.8544550000000001E-3</v>
      </c>
      <c r="P43" s="4">
        <v>3.0519549999999999E-3</v>
      </c>
      <c r="Q43" s="4">
        <v>2.1076839999999999E-3</v>
      </c>
      <c r="R43" s="4">
        <v>1.6734639999999999E-3</v>
      </c>
      <c r="S43" s="4">
        <v>2.0667010000000002E-3</v>
      </c>
      <c r="T43" s="4">
        <v>2.134248E-3</v>
      </c>
      <c r="U43" s="4">
        <v>2.134248E-3</v>
      </c>
    </row>
    <row r="44" spans="1:61" x14ac:dyDescent="0.4">
      <c r="A44">
        <v>110401</v>
      </c>
      <c r="B44">
        <v>6</v>
      </c>
      <c r="C44">
        <v>6</v>
      </c>
      <c r="D44">
        <v>4</v>
      </c>
      <c r="E44">
        <v>4</v>
      </c>
      <c r="F44">
        <v>4</v>
      </c>
      <c r="G44">
        <v>5</v>
      </c>
      <c r="H44">
        <v>5</v>
      </c>
      <c r="I44">
        <v>4</v>
      </c>
      <c r="J44">
        <v>6</v>
      </c>
      <c r="K44">
        <v>50</v>
      </c>
      <c r="L44">
        <v>4.1719779999999998E-3</v>
      </c>
      <c r="M44">
        <v>3.1187010000000002E-3</v>
      </c>
      <c r="N44">
        <v>2.8985209999999998E-3</v>
      </c>
      <c r="O44">
        <v>2.5805350000000001E-3</v>
      </c>
      <c r="P44">
        <v>4.1719779999999998E-3</v>
      </c>
      <c r="Q44">
        <v>2.9738600000000002E-4</v>
      </c>
      <c r="R44">
        <v>2.1142599999999999E-4</v>
      </c>
      <c r="S44">
        <v>1.3336700000000001E-4</v>
      </c>
      <c r="T44">
        <v>-6.5337100000000003E-4</v>
      </c>
      <c r="U44">
        <v>2.9738600000000002E-4</v>
      </c>
    </row>
    <row r="45" spans="1:61" x14ac:dyDescent="0.4">
      <c r="A45">
        <v>142150</v>
      </c>
      <c r="B45">
        <v>6</v>
      </c>
      <c r="C45">
        <v>6</v>
      </c>
      <c r="D45">
        <v>6</v>
      </c>
      <c r="E45">
        <v>5</v>
      </c>
      <c r="F45">
        <v>6</v>
      </c>
      <c r="G45">
        <v>6</v>
      </c>
      <c r="H45">
        <v>7</v>
      </c>
      <c r="I45">
        <v>6</v>
      </c>
      <c r="J45">
        <v>7</v>
      </c>
      <c r="K45">
        <v>51</v>
      </c>
      <c r="L45">
        <v>2.5927390000000002E-3</v>
      </c>
      <c r="M45">
        <v>2.5785389999999999E-3</v>
      </c>
      <c r="N45">
        <v>2.007109E-3</v>
      </c>
      <c r="O45">
        <v>2.2709230000000002E-3</v>
      </c>
      <c r="P45">
        <v>2.5927390000000002E-3</v>
      </c>
      <c r="Q45" s="1">
        <v>-6.6799999999999997E-5</v>
      </c>
      <c r="R45">
        <v>1.3235699999999999E-4</v>
      </c>
      <c r="S45" s="1">
        <v>-9.8400000000000007E-5</v>
      </c>
      <c r="T45">
        <v>-2.6988899999999999E-4</v>
      </c>
      <c r="U45">
        <v>1.3235699999999999E-4</v>
      </c>
    </row>
    <row r="46" spans="1:61" x14ac:dyDescent="0.4">
      <c r="A46">
        <v>150943</v>
      </c>
      <c r="B46">
        <v>7</v>
      </c>
      <c r="C46">
        <v>5</v>
      </c>
      <c r="D46">
        <v>3</v>
      </c>
      <c r="E46">
        <v>3</v>
      </c>
      <c r="F46">
        <v>4</v>
      </c>
      <c r="G46">
        <v>5</v>
      </c>
      <c r="H46">
        <v>4</v>
      </c>
      <c r="I46">
        <v>4</v>
      </c>
      <c r="J46">
        <v>4</v>
      </c>
      <c r="K46">
        <v>52</v>
      </c>
      <c r="L46">
        <v>3.4428689999999999E-3</v>
      </c>
      <c r="M46">
        <v>3.1109509999999998E-3</v>
      </c>
      <c r="N46">
        <v>3.0786450000000001E-3</v>
      </c>
      <c r="O46">
        <v>2.7172199999999998E-3</v>
      </c>
      <c r="P46">
        <v>3.4428689999999999E-3</v>
      </c>
      <c r="Q46" s="1">
        <v>-2.7399999999999999E-5</v>
      </c>
      <c r="R46" s="1">
        <v>-8.81E-5</v>
      </c>
      <c r="S46">
        <v>-1.5145999999999999E-4</v>
      </c>
      <c r="T46">
        <v>-4.4976700000000001E-4</v>
      </c>
      <c r="U46" s="1">
        <v>-2.7399999999999999E-5</v>
      </c>
    </row>
    <row r="47" spans="1:61" x14ac:dyDescent="0.4">
      <c r="A47">
        <v>151633</v>
      </c>
      <c r="B47">
        <v>5</v>
      </c>
      <c r="C47">
        <v>5</v>
      </c>
      <c r="D47">
        <v>5</v>
      </c>
      <c r="E47">
        <v>6</v>
      </c>
      <c r="F47">
        <v>6</v>
      </c>
      <c r="G47">
        <v>4</v>
      </c>
      <c r="H47">
        <v>5</v>
      </c>
      <c r="I47">
        <v>5</v>
      </c>
      <c r="J47">
        <v>5</v>
      </c>
      <c r="K47">
        <v>58</v>
      </c>
      <c r="L47" s="1">
        <v>4.9700000000000002E-5</v>
      </c>
      <c r="M47">
        <v>3.8751999999999998E-4</v>
      </c>
      <c r="N47">
        <v>1.61094E-4</v>
      </c>
      <c r="O47" s="1">
        <v>-8.9400000000000005E-5</v>
      </c>
      <c r="P47">
        <v>3.8751999999999998E-4</v>
      </c>
      <c r="Q47">
        <v>3.0115850000000002E-3</v>
      </c>
      <c r="R47">
        <v>2.689332E-3</v>
      </c>
      <c r="S47">
        <v>2.3838919999999999E-3</v>
      </c>
      <c r="T47">
        <v>2.4793060000000001E-3</v>
      </c>
      <c r="U47">
        <v>3.0115850000000002E-3</v>
      </c>
    </row>
  </sheetData>
  <phoneticPr fontId="18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datak=100,l=100,t=2,maxdelay=20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SATO Moe</cp:lastModifiedBy>
  <dcterms:created xsi:type="dcterms:W3CDTF">2025-11-11T11:12:56Z</dcterms:created>
  <dcterms:modified xsi:type="dcterms:W3CDTF">2025-11-11T12:36:58Z</dcterms:modified>
</cp:coreProperties>
</file>