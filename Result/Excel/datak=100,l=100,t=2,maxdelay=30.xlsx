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\Documents\GitHub\AnalysisofHeart-to-HeartState\Result\新しいフォルダー\"/>
    </mc:Choice>
  </mc:AlternateContent>
  <xr:revisionPtr revIDLastSave="0" documentId="13_ncr:9_{B8763354-BD92-40B6-945C-1E2747F50BEA}" xr6:coauthVersionLast="47" xr6:coauthVersionMax="47" xr10:uidLastSave="{00000000-0000-0000-0000-000000000000}"/>
  <bookViews>
    <workbookView xWindow="-120" yWindow="-120" windowWidth="29040" windowHeight="15720" xr2:uid="{4EA95812-2B67-43F6-AD08-F420F7E3C0CD}"/>
  </bookViews>
  <sheets>
    <sheet name="datak=100,l=100,t=2,maxdelay=30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</calcChain>
</file>

<file path=xl/sharedStrings.xml><?xml version="1.0" encoding="utf-8"?>
<sst xmlns="http://schemas.openxmlformats.org/spreadsheetml/2006/main" count="24" uniqueCount="24">
  <si>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</si>
  <si>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</si>
  <si>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</si>
  <si>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</si>
  <si>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</si>
  <si>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</si>
  <si>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</si>
  <si>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</si>
  <si>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</si>
  <si>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</si>
  <si>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age</t>
  </si>
  <si>
    <t>RtoHd=0</t>
  </si>
  <si>
    <t>RtoHd=5</t>
  </si>
  <si>
    <t>RtoHd=10</t>
  </si>
  <si>
    <t>RtoHd=20</t>
  </si>
  <si>
    <t>RtoHd=30</t>
  </si>
  <si>
    <t>RtoHd=Max</t>
  </si>
  <si>
    <t>HtoRd=0</t>
  </si>
  <si>
    <t>HtoRd=5</t>
  </si>
  <si>
    <t>HtoRd=10</t>
  </si>
  <si>
    <t>HtoRd=20</t>
  </si>
  <si>
    <t>HtoRd=30</t>
  </si>
  <si>
    <t>HtoRd=Max</t>
  </si>
  <si>
    <t>列1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</si>
</sst>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'datak=100,l=100,t=2,maxdelay=30'!$Q$3:$Q$15</c:f>
              <c:numCache>
                <c:formatCode>General</c:formatCode>
                <c:ptCount val="13"/>
                <c:pt idx="0">
                  <c:v>4.3793846704359698E-3</c:v>
                </c:pt>
                <c:pt idx="1">
                  <c:v>1.80618435106505E-3</c:v>
                </c:pt>
                <c:pt idx="2">
                  <c:v>2.0436236754100001E-3</c:v>
                </c:pt>
                <c:pt idx="3">
                  <c:v>2.22489559561678E-3</c:v>
                </c:pt>
                <c:pt idx="4">
                  <c:v>2.3748628814724798E-3</c:v>
                </c:pt>
                <c:pt idx="5">
                  <c:v>2.6036168778167299E-3</c:v>
                </c:pt>
                <c:pt idx="6">
                  <c:v>3.1903481200278301E-3</c:v>
                </c:pt>
                <c:pt idx="7">
                  <c:v>1.85239810829296E-3</c:v>
                </c:pt>
                <c:pt idx="8">
                  <c:v>1.2046417778651601E-3</c:v>
                </c:pt>
                <c:pt idx="9">
                  <c:v>4.4229605937940999E-3</c:v>
                </c:pt>
                <c:pt idx="10">
                  <c:v>2.4476931387508098E-3</c:v>
                </c:pt>
                <c:pt idx="11">
                  <c:v>4.7698642184135199E-4</c:v>
                </c:pt>
                <c:pt idx="12">
                  <c:v>5.7701336892157496E-4</c:v>
                </c:pt>
              </c:numCache>
            </c:numRef>
          </c:xVal>
          <c:yVal>
            <c:numRef>
              <c:f>'datak=100,l=100,t=2,maxdelay=30'!$F$3:$F$15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8-4FE6-8028-149ECF2D3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225983"/>
        <c:axId val="446225023"/>
      </c:scatterChart>
      <c:valAx>
        <c:axId val="44622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6225023"/>
        <c:crosses val="autoZero"/>
        <c:crossBetween val="midCat"/>
      </c:valAx>
      <c:valAx>
        <c:axId val="44622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622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125379</xdr:colOff>
      <xdr:row>2</xdr:row>
      <xdr:rowOff>38682</xdr:rowOff>
    </xdr:from>
    <xdr:to>
      <xdr:col>30</xdr:col>
      <xdr:colOff>586855</xdr:colOff>
      <xdr:row>13</xdr:row>
      <xdr:rowOff>57732</xdr:rowOff>
    </xdr:to>
    <xdr:graphicFrame macro="">
      <xdr:nvGraphicFramePr>
        <xdr:cNvPr id="63" name="グラフ 62">
          <a:extLst>
            <a:ext uri="{FF2B5EF4-FFF2-40B4-BE49-F238E27FC236}">
              <a16:creationId xmlns:a16="http://schemas.microsoft.com/office/drawing/2014/main" id="{5B1BAD86-A7E0-93EC-2CDE-DF82555D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to\Documents\GitHub\AnalysisofHeart-to-HeartState\Result\&#26032;&#12375;&#12356;&#12501;&#12457;&#12523;&#12480;&#12540;\datak=100,l=100,t=2,maxdelay=20.xlsx" TargetMode="External"/><Relationship Id="rId1" Type="http://schemas.openxmlformats.org/officeDocument/2006/relationships/externalLinkPath" Target="datak=100,l=100,t=2,maxdelay=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k=100,l=100,t=2,maxdelay=20"/>
    </sheetNames>
    <sheetDataSet>
      <sheetData sheetId="0">
        <row r="2">
          <cell r="F2">
            <v>7</v>
          </cell>
          <cell r="G2">
            <v>7</v>
          </cell>
          <cell r="P2">
            <v>1.9215669999999999E-3</v>
          </cell>
          <cell r="U2">
            <v>2.4284580000000001E-3</v>
          </cell>
        </row>
        <row r="3">
          <cell r="F3">
            <v>6</v>
          </cell>
          <cell r="G3">
            <v>3</v>
          </cell>
          <cell r="P3">
            <v>4.3793850000000004E-3</v>
          </cell>
          <cell r="U3">
            <v>1.394642E-3</v>
          </cell>
        </row>
        <row r="4">
          <cell r="F4">
            <v>7</v>
          </cell>
          <cell r="G4">
            <v>7</v>
          </cell>
          <cell r="P4">
            <v>1.806184E-3</v>
          </cell>
          <cell r="U4">
            <v>1.0544930000000001E-3</v>
          </cell>
        </row>
        <row r="5">
          <cell r="F5">
            <v>7</v>
          </cell>
          <cell r="G5">
            <v>7</v>
          </cell>
          <cell r="P5">
            <v>2.043624E-3</v>
          </cell>
          <cell r="U5">
            <v>1.733397E-3</v>
          </cell>
        </row>
        <row r="6">
          <cell r="F6">
            <v>5</v>
          </cell>
          <cell r="G6">
            <v>6</v>
          </cell>
          <cell r="P6">
            <v>2.2248960000000001E-3</v>
          </cell>
          <cell r="U6">
            <v>2.2977700000000002E-3</v>
          </cell>
        </row>
        <row r="7">
          <cell r="F7">
            <v>5</v>
          </cell>
          <cell r="G7">
            <v>5</v>
          </cell>
          <cell r="P7">
            <v>2.3748630000000001E-3</v>
          </cell>
          <cell r="U7">
            <v>4.7401399999999998E-4</v>
          </cell>
        </row>
        <row r="8">
          <cell r="F8">
            <v>7</v>
          </cell>
          <cell r="G8">
            <v>7</v>
          </cell>
          <cell r="P8">
            <v>2.6036169999999999E-3</v>
          </cell>
          <cell r="U8">
            <v>1.4214849999999999E-3</v>
          </cell>
        </row>
        <row r="9">
          <cell r="F9">
            <v>5</v>
          </cell>
          <cell r="G9">
            <v>5</v>
          </cell>
          <cell r="P9">
            <v>3.190348E-3</v>
          </cell>
          <cell r="U9">
            <v>5.3051499999999996E-4</v>
          </cell>
        </row>
        <row r="10">
          <cell r="F10">
            <v>5</v>
          </cell>
          <cell r="G10">
            <v>5</v>
          </cell>
          <cell r="P10">
            <v>1.8523979999999999E-3</v>
          </cell>
          <cell r="U10">
            <v>1.9614630000000001E-3</v>
          </cell>
        </row>
        <row r="11">
          <cell r="F11">
            <v>6</v>
          </cell>
          <cell r="G11">
            <v>7</v>
          </cell>
          <cell r="P11">
            <v>1.2046419999999999E-3</v>
          </cell>
          <cell r="U11">
            <v>1.676105E-3</v>
          </cell>
        </row>
        <row r="12">
          <cell r="F12">
            <v>6</v>
          </cell>
          <cell r="G12">
            <v>6</v>
          </cell>
          <cell r="P12">
            <v>4.4229610000000004E-3</v>
          </cell>
          <cell r="U12">
            <v>1.868815E-3</v>
          </cell>
        </row>
        <row r="13">
          <cell r="F13">
            <v>6</v>
          </cell>
          <cell r="G13">
            <v>7</v>
          </cell>
          <cell r="P13">
            <v>2.4476929999999999E-3</v>
          </cell>
          <cell r="U13">
            <v>3.9289090000000004E-3</v>
          </cell>
        </row>
        <row r="14">
          <cell r="F14">
            <v>2</v>
          </cell>
          <cell r="G14">
            <v>3</v>
          </cell>
          <cell r="P14">
            <v>4.7698599999999999E-4</v>
          </cell>
          <cell r="U14">
            <v>4.6091420000000001E-3</v>
          </cell>
        </row>
        <row r="15">
          <cell r="F15">
            <v>5</v>
          </cell>
          <cell r="G15">
            <v>7</v>
          </cell>
          <cell r="P15">
            <v>5.7701300000000003E-4</v>
          </cell>
          <cell r="U15">
            <v>3.9814610000000004E-3</v>
          </cell>
        </row>
        <row r="16">
          <cell r="F16">
            <v>1</v>
          </cell>
          <cell r="G16">
            <v>1</v>
          </cell>
          <cell r="P16">
            <v>3.599489E-3</v>
          </cell>
          <cell r="U16">
            <v>1.574651E-3</v>
          </cell>
        </row>
        <row r="17">
          <cell r="F17">
            <v>5</v>
          </cell>
          <cell r="G17">
            <v>6</v>
          </cell>
          <cell r="P17">
            <v>2.7791500000000002E-3</v>
          </cell>
          <cell r="U17">
            <v>6.7053720000000002E-3</v>
          </cell>
        </row>
        <row r="18">
          <cell r="F18">
            <v>6</v>
          </cell>
          <cell r="G18">
            <v>6</v>
          </cell>
          <cell r="P18">
            <v>2.0410099999999998E-3</v>
          </cell>
          <cell r="U18">
            <v>2.2149050000000001E-3</v>
          </cell>
        </row>
        <row r="19">
          <cell r="F19">
            <v>3</v>
          </cell>
          <cell r="G19">
            <v>4</v>
          </cell>
          <cell r="P19">
            <v>3.0357439999999999E-3</v>
          </cell>
          <cell r="U19">
            <v>1.2857560000000001E-3</v>
          </cell>
        </row>
        <row r="20">
          <cell r="F20">
            <v>7</v>
          </cell>
          <cell r="G20">
            <v>6</v>
          </cell>
          <cell r="P20">
            <v>4.3734749999999999E-3</v>
          </cell>
          <cell r="U20">
            <v>6.8924399999999999E-4</v>
          </cell>
        </row>
        <row r="21">
          <cell r="F21">
            <v>5</v>
          </cell>
          <cell r="G21">
            <v>6</v>
          </cell>
          <cell r="P21">
            <v>4.2651190000000004E-3</v>
          </cell>
          <cell r="U21">
            <v>2.7846939999999999E-3</v>
          </cell>
        </row>
        <row r="22">
          <cell r="F22">
            <v>7</v>
          </cell>
          <cell r="G22">
            <v>7</v>
          </cell>
          <cell r="P22">
            <v>1.3987369999999999E-3</v>
          </cell>
          <cell r="U22">
            <v>2.573479E-3</v>
          </cell>
        </row>
        <row r="23">
          <cell r="F23">
            <v>6</v>
          </cell>
          <cell r="G23">
            <v>4</v>
          </cell>
          <cell r="P23">
            <v>2.4452290000000002E-3</v>
          </cell>
          <cell r="U23">
            <v>1.317344E-3</v>
          </cell>
        </row>
        <row r="24">
          <cell r="F24">
            <v>5</v>
          </cell>
          <cell r="G24">
            <v>5</v>
          </cell>
          <cell r="P24">
            <v>2.5655529999999999E-3</v>
          </cell>
          <cell r="U24">
            <v>3.403831E-3</v>
          </cell>
        </row>
        <row r="25">
          <cell r="F25">
            <v>5</v>
          </cell>
          <cell r="G25">
            <v>4</v>
          </cell>
          <cell r="P25">
            <v>4.1536439999999997E-3</v>
          </cell>
          <cell r="U25">
            <v>1.0131980000000001E-3</v>
          </cell>
        </row>
        <row r="26">
          <cell r="F26">
            <v>4</v>
          </cell>
          <cell r="G26">
            <v>4</v>
          </cell>
          <cell r="P26">
            <v>4.8289769999999999E-3</v>
          </cell>
          <cell r="U26">
            <v>1.2213059999999999E-3</v>
          </cell>
        </row>
        <row r="27">
          <cell r="F27">
            <v>6</v>
          </cell>
          <cell r="G27">
            <v>5</v>
          </cell>
          <cell r="P27">
            <v>1.9568260000000001E-3</v>
          </cell>
          <cell r="U27">
            <v>1.72926E-3</v>
          </cell>
        </row>
        <row r="28">
          <cell r="F28">
            <v>3</v>
          </cell>
          <cell r="G28">
            <v>4</v>
          </cell>
          <cell r="P28">
            <v>1.246839E-3</v>
          </cell>
          <cell r="U28">
            <v>1.892814E-3</v>
          </cell>
        </row>
        <row r="29">
          <cell r="F29">
            <v>5</v>
          </cell>
          <cell r="G29">
            <v>3</v>
          </cell>
          <cell r="P29">
            <v>2.2566219999999998E-3</v>
          </cell>
          <cell r="U29">
            <v>4.2559440000000002E-3</v>
          </cell>
        </row>
        <row r="30">
          <cell r="F30">
            <v>3</v>
          </cell>
          <cell r="G30">
            <v>6</v>
          </cell>
          <cell r="P30">
            <v>2.8066979999999998E-3</v>
          </cell>
          <cell r="U30">
            <v>9.86261E-4</v>
          </cell>
        </row>
        <row r="31">
          <cell r="F31">
            <v>3</v>
          </cell>
          <cell r="G31">
            <v>4</v>
          </cell>
          <cell r="P31">
            <v>2.0608499999999999E-3</v>
          </cell>
          <cell r="U31">
            <v>1.0614039999999999E-3</v>
          </cell>
        </row>
        <row r="32">
          <cell r="F32">
            <v>4</v>
          </cell>
          <cell r="G32">
            <v>3</v>
          </cell>
          <cell r="P32">
            <v>1.9318549999999999E-3</v>
          </cell>
          <cell r="U32">
            <v>6.626898E-3</v>
          </cell>
        </row>
        <row r="33">
          <cell r="F33">
            <v>7</v>
          </cell>
          <cell r="G33">
            <v>7</v>
          </cell>
          <cell r="P33">
            <v>5.3271830000000001E-3</v>
          </cell>
          <cell r="U33">
            <v>2.7940069999999998E-3</v>
          </cell>
        </row>
        <row r="34">
          <cell r="F34">
            <v>6</v>
          </cell>
          <cell r="G34">
            <v>6</v>
          </cell>
          <cell r="P34">
            <v>4.2356690000000001E-3</v>
          </cell>
          <cell r="U34">
            <v>2.8238619999999999E-3</v>
          </cell>
        </row>
        <row r="35">
          <cell r="F35">
            <v>4</v>
          </cell>
          <cell r="G35">
            <v>4</v>
          </cell>
          <cell r="P35">
            <v>5.1377080000000004E-3</v>
          </cell>
          <cell r="U35">
            <v>1.5013100000000001E-3</v>
          </cell>
        </row>
        <row r="36">
          <cell r="F36">
            <v>2</v>
          </cell>
          <cell r="G36">
            <v>2</v>
          </cell>
          <cell r="P36">
            <v>5.1975399999999998E-4</v>
          </cell>
          <cell r="U36">
            <v>3.8011479999999999E-3</v>
          </cell>
        </row>
        <row r="37">
          <cell r="F37">
            <v>6</v>
          </cell>
          <cell r="G37">
            <v>7</v>
          </cell>
          <cell r="P37">
            <v>3.6163419999999998E-3</v>
          </cell>
          <cell r="U37">
            <v>2.0702279999999999E-3</v>
          </cell>
        </row>
        <row r="38">
          <cell r="F38">
            <v>7</v>
          </cell>
          <cell r="G38">
            <v>4</v>
          </cell>
          <cell r="P38">
            <v>1.997291E-3</v>
          </cell>
          <cell r="U38">
            <v>3.195453E-3</v>
          </cell>
        </row>
        <row r="39">
          <cell r="F39">
            <v>4</v>
          </cell>
          <cell r="G39">
            <v>4</v>
          </cell>
          <cell r="P39">
            <v>2.7853520000000001E-3</v>
          </cell>
          <cell r="U39">
            <v>2.99453E-3</v>
          </cell>
        </row>
        <row r="40">
          <cell r="F40">
            <v>5</v>
          </cell>
          <cell r="G40">
            <v>5</v>
          </cell>
          <cell r="P40">
            <v>3.4690120000000001E-3</v>
          </cell>
          <cell r="U40">
            <v>8.6436499999999997E-4</v>
          </cell>
        </row>
        <row r="41">
          <cell r="F41">
            <v>5</v>
          </cell>
          <cell r="G41">
            <v>4</v>
          </cell>
          <cell r="P41">
            <v>2.6996239999999999E-3</v>
          </cell>
          <cell r="U41">
            <v>2.5645170000000001E-3</v>
          </cell>
        </row>
        <row r="42">
          <cell r="F42">
            <v>5</v>
          </cell>
          <cell r="G42">
            <v>6</v>
          </cell>
          <cell r="P42">
            <v>3.5695990000000001E-3</v>
          </cell>
          <cell r="U42">
            <v>9.9412400000000009E-4</v>
          </cell>
        </row>
        <row r="43">
          <cell r="F43">
            <v>5</v>
          </cell>
          <cell r="G43">
            <v>5</v>
          </cell>
          <cell r="P43">
            <v>3.0519549999999999E-3</v>
          </cell>
          <cell r="U43">
            <v>2.134248E-3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30637-B99A-4DF5-84C6-38B85A3670E7}" name="テーブル1" displayName="テーブル1" ref="A1:X43" totalsRowShown="0">
  <autoFilter ref="A1:X43" xr:uid="{99E30637-B99A-4DF5-84C6-38B85A3670E7}"/>
  <sortState xmlns:xlrd2="http://schemas.microsoft.com/office/spreadsheetml/2017/richdata2" ref="A2:W43">
    <sortCondition ref="K1:K43"/>
  </sortState>
  <tableColumns count="24">
    <tableColumn id="1" xr3:uid="{3C1179A9-CA2E-4F6D-9CE0-3CA7ABF9F5FD}" name="ID"/>
    <tableColumn id="2" xr3:uid="{F6A7AC91-3A9C-43CD-BB67-53383C671654}" name="Q1"/>
    <tableColumn id="3" xr3:uid="{58164838-828D-4CA5-8CBD-7D6A954951BC}" name="Q2"/>
    <tableColumn id="4" xr3:uid="{71E33320-B170-48EB-A999-53FE04EF37CD}" name="Q3"/>
    <tableColumn id="5" xr3:uid="{3EB4ED3E-C479-408D-A1FA-82158828AE58}" name="Q4"/>
    <tableColumn id="6" xr3:uid="{2CCD8257-70D0-4910-839A-81F02D4A11C2}" name="Q5"/>
    <tableColumn id="7" xr3:uid="{EE428859-75F2-4219-9EEB-52416361F603}" name="Q6"/>
    <tableColumn id="8" xr3:uid="{6B957305-AE67-4B5A-AD5B-92CE10072D65}" name="Q7"/>
    <tableColumn id="9" xr3:uid="{A62CB383-2E9B-4159-B286-5E6E5EDBC15A}" name="Q8"/>
    <tableColumn id="10" xr3:uid="{5FCA9612-FF5E-430C-B4D5-CE0449F660BD}" name="Q9"/>
    <tableColumn id="11" xr3:uid="{62B8B008-09DA-462D-83F8-F186201EE21A}" name="age"/>
    <tableColumn id="12" xr3:uid="{9961BBBA-0B0D-4AF3-A122-79AEA5FBA358}" name="RtoHd=0"/>
    <tableColumn id="13" xr3:uid="{2DF33D0A-3EEC-42A5-9B4A-1D8A89CDCEB0}" name="RtoHd=5"/>
    <tableColumn id="14" xr3:uid="{3F99E666-04CD-44DA-A215-8DC3622C3213}" name="RtoHd=10"/>
    <tableColumn id="15" xr3:uid="{FC299480-9ABB-4F30-B700-DC5A7EB57952}" name="RtoHd=20"/>
    <tableColumn id="16" xr3:uid="{8BDD9D7F-8EC7-44BA-AD06-17C90310DFC8}" name="RtoHd=30"/>
    <tableColumn id="17" xr3:uid="{849BFB17-4206-46AF-AA5E-95577DC7D73E}" name="RtoHd=Max" dataDxfId="2"/>
    <tableColumn id="18" xr3:uid="{B14414F0-BA6A-4AF5-BC26-F45E56B20D1B}" name="HtoRd=0"/>
    <tableColumn id="19" xr3:uid="{258E1589-7D96-4351-914D-A92BEA21F279}" name="HtoRd=5"/>
    <tableColumn id="20" xr3:uid="{8A1C3533-0953-4717-88C9-A0804497DEA6}" name="HtoRd=10"/>
    <tableColumn id="21" xr3:uid="{B1A5FABA-3A90-4055-9139-62C9FB45A45D}" name="HtoRd=20"/>
    <tableColumn id="22" xr3:uid="{24178929-99A8-4A5E-9C16-896D08AD9673}" name="HtoRd=30"/>
    <tableColumn id="23" xr3:uid="{33D8C954-569D-44B5-9642-28EB1112F1E8}" name="HtoRd=Max" dataDxfId="3"/>
    <tableColumn id="24" xr3:uid="{5A623E84-15AC-4582-8E4F-280A83092AE0}" name="列1" dataDxfId="0">
      <calculatedColumnFormula>EXACT(P2,Q2)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DCC1-6B01-4572-845D-6F217B0ECAD6}">
  <dimension ref="A1:X51"/>
  <sheetViews>
    <sheetView tabSelected="1" topLeftCell="L1" zoomScale="98" zoomScaleNormal="50" workbookViewId="0">
      <selection activeCell="X37" sqref="X37"/>
    </sheetView>
  </sheetViews>
  <sheetFormatPr defaultRowHeight="18.75" x14ac:dyDescent="0.4"/>
  <cols>
    <col min="12" max="13" width="10.5" customWidth="1"/>
    <col min="14" max="16" width="11.5" customWidth="1"/>
    <col min="17" max="17" width="13.25" customWidth="1"/>
    <col min="18" max="19" width="10.5" customWidth="1"/>
    <col min="20" max="22" width="11.5" customWidth="1"/>
    <col min="23" max="23" width="13.25" customWidth="1"/>
  </cols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>
        <v>141359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11</v>
      </c>
      <c r="L2">
        <v>1.6960937465035899E-3</v>
      </c>
      <c r="M2">
        <v>1.92156728887515E-3</v>
      </c>
      <c r="N2">
        <v>1.7165028951282499E-3</v>
      </c>
      <c r="O2">
        <v>1.88278149939458E-3</v>
      </c>
      <c r="P2">
        <v>1.6648896128440499E-3</v>
      </c>
      <c r="Q2" s="5">
        <v>1.92156728887515E-3</v>
      </c>
      <c r="R2">
        <v>2.2556364502381802E-3</v>
      </c>
      <c r="S2">
        <v>2.3885215894092699E-3</v>
      </c>
      <c r="T2">
        <v>2.4284579205415802E-3</v>
      </c>
      <c r="U2">
        <v>1.81554276526085E-3</v>
      </c>
      <c r="V2">
        <v>1.9654051397640601E-3</v>
      </c>
      <c r="W2" s="5">
        <v>2.4284579205415802E-3</v>
      </c>
      <c r="X2" t="b">
        <f t="shared" ref="X2:X43" si="0">EXACT(P2,Q2)</f>
        <v>0</v>
      </c>
    </row>
    <row r="3" spans="1:24" x14ac:dyDescent="0.4">
      <c r="A3" s="2">
        <v>125944</v>
      </c>
      <c r="B3" s="2">
        <v>6</v>
      </c>
      <c r="C3" s="2">
        <v>5</v>
      </c>
      <c r="D3" s="2">
        <v>3</v>
      </c>
      <c r="E3" s="2">
        <v>5</v>
      </c>
      <c r="F3" s="2">
        <v>6</v>
      </c>
      <c r="G3" s="2">
        <v>3</v>
      </c>
      <c r="H3" s="2">
        <v>6</v>
      </c>
      <c r="I3" s="2">
        <v>2</v>
      </c>
      <c r="J3" s="2">
        <v>7</v>
      </c>
      <c r="K3" s="2">
        <v>22</v>
      </c>
      <c r="L3" s="2">
        <v>3.8838112419932098E-3</v>
      </c>
      <c r="M3" s="2">
        <v>4.3093882389382198E-3</v>
      </c>
      <c r="N3" s="2">
        <v>4.0472663603006104E-3</v>
      </c>
      <c r="O3" s="2">
        <v>4.3793846704359698E-3</v>
      </c>
      <c r="P3" s="2">
        <v>3.9377803941862402E-3</v>
      </c>
      <c r="Q3" s="5">
        <v>4.3793846704359698E-3</v>
      </c>
      <c r="R3" s="2">
        <v>1.39464237524311E-3</v>
      </c>
      <c r="S3" s="2">
        <v>1.38495923817849E-3</v>
      </c>
      <c r="T3" s="2">
        <v>1.2403188194881601E-3</v>
      </c>
      <c r="U3" s="2">
        <v>1.1363581283575499E-3</v>
      </c>
      <c r="V3" s="2">
        <v>1.3791066540229601E-3</v>
      </c>
      <c r="W3" s="5">
        <v>1.39464237524311E-3</v>
      </c>
      <c r="X3" t="b">
        <f t="shared" si="0"/>
        <v>0</v>
      </c>
    </row>
    <row r="4" spans="1:24" x14ac:dyDescent="0.4">
      <c r="A4" s="2">
        <v>133947</v>
      </c>
      <c r="B4" s="2">
        <v>7</v>
      </c>
      <c r="C4" s="2">
        <v>7</v>
      </c>
      <c r="D4" s="2">
        <v>7</v>
      </c>
      <c r="E4" s="2">
        <v>7</v>
      </c>
      <c r="F4" s="2">
        <v>7</v>
      </c>
      <c r="G4" s="2">
        <v>7</v>
      </c>
      <c r="H4" s="2">
        <v>7</v>
      </c>
      <c r="I4" s="2">
        <v>6</v>
      </c>
      <c r="J4" s="2">
        <v>7</v>
      </c>
      <c r="K4" s="2">
        <v>22</v>
      </c>
      <c r="L4" s="2">
        <v>1.80618435106505E-3</v>
      </c>
      <c r="M4" s="2">
        <v>1.5108488853521299E-3</v>
      </c>
      <c r="N4" s="2">
        <v>1.2855223550217699E-3</v>
      </c>
      <c r="O4" s="2">
        <v>8.5126763400222795E-4</v>
      </c>
      <c r="P4" s="2">
        <v>5.8945566595403E-4</v>
      </c>
      <c r="Q4" s="5">
        <v>1.80618435106505E-3</v>
      </c>
      <c r="R4" s="2">
        <v>1.0544929181428499E-3</v>
      </c>
      <c r="S4" s="2">
        <v>3.1275999071733702E-4</v>
      </c>
      <c r="T4" s="2">
        <v>5.4659596981498904E-4</v>
      </c>
      <c r="U4" s="2">
        <v>8.5247239892238802E-4</v>
      </c>
      <c r="V4" s="2">
        <v>4.77130792300273E-4</v>
      </c>
      <c r="W4" s="5">
        <v>1.0544929181428499E-3</v>
      </c>
      <c r="X4" t="b">
        <f t="shared" si="0"/>
        <v>0</v>
      </c>
    </row>
    <row r="5" spans="1:24" x14ac:dyDescent="0.4">
      <c r="A5" s="2">
        <v>152902</v>
      </c>
      <c r="B5" s="2">
        <v>6</v>
      </c>
      <c r="C5" s="2">
        <v>6</v>
      </c>
      <c r="D5" s="2">
        <v>7</v>
      </c>
      <c r="E5" s="2">
        <v>7</v>
      </c>
      <c r="F5" s="2">
        <v>7</v>
      </c>
      <c r="G5" s="2">
        <v>7</v>
      </c>
      <c r="H5" s="2">
        <v>7</v>
      </c>
      <c r="I5" s="2">
        <v>6</v>
      </c>
      <c r="J5" s="2">
        <v>7</v>
      </c>
      <c r="K5" s="2">
        <v>22</v>
      </c>
      <c r="L5" s="2">
        <v>2.0231340331958699E-3</v>
      </c>
      <c r="M5" s="2">
        <v>1.55575310774414E-3</v>
      </c>
      <c r="N5" s="2">
        <v>2.0092998782242901E-3</v>
      </c>
      <c r="O5" s="2">
        <v>2.0436236754100001E-3</v>
      </c>
      <c r="P5" s="2">
        <v>2.0278549364930402E-3</v>
      </c>
      <c r="Q5" s="5">
        <v>2.0436236754100001E-3</v>
      </c>
      <c r="R5" s="2">
        <v>1.6742197466483801E-3</v>
      </c>
      <c r="S5" s="2">
        <v>9.4422276686589803E-4</v>
      </c>
      <c r="T5" s="2">
        <v>1.7333974995423699E-3</v>
      </c>
      <c r="U5" s="2">
        <v>1.4077990891674299E-3</v>
      </c>
      <c r="V5" s="2">
        <v>1.3127438007029999E-3</v>
      </c>
      <c r="W5" s="5">
        <v>1.7333974995423699E-3</v>
      </c>
      <c r="X5" t="b">
        <f t="shared" si="0"/>
        <v>0</v>
      </c>
    </row>
    <row r="6" spans="1:24" x14ac:dyDescent="0.4">
      <c r="A6" s="2">
        <v>171118</v>
      </c>
      <c r="B6" s="2">
        <v>6</v>
      </c>
      <c r="C6" s="2">
        <v>6</v>
      </c>
      <c r="D6" s="2">
        <v>7</v>
      </c>
      <c r="E6" s="2">
        <v>6</v>
      </c>
      <c r="F6" s="2">
        <v>5</v>
      </c>
      <c r="G6" s="2">
        <v>6</v>
      </c>
      <c r="H6" s="2">
        <v>7</v>
      </c>
      <c r="I6" s="2">
        <v>6</v>
      </c>
      <c r="J6" s="2">
        <v>6</v>
      </c>
      <c r="K6" s="2">
        <v>22</v>
      </c>
      <c r="L6" s="2">
        <v>2.22489559561678E-3</v>
      </c>
      <c r="M6" s="2">
        <v>2.0368723254112699E-3</v>
      </c>
      <c r="N6" s="2">
        <v>1.2748121279810799E-3</v>
      </c>
      <c r="O6" s="2">
        <v>1.2482094560614099E-3</v>
      </c>
      <c r="P6" s="2">
        <v>9.1564417682587996E-4</v>
      </c>
      <c r="Q6" s="5">
        <v>2.22489559561678E-3</v>
      </c>
      <c r="R6" s="2">
        <v>2.16679775040762E-3</v>
      </c>
      <c r="S6" s="2">
        <v>1.1377573972896E-3</v>
      </c>
      <c r="T6" s="2">
        <v>2.2977703535852398E-3</v>
      </c>
      <c r="U6" s="2">
        <v>2.0237029821319401E-3</v>
      </c>
      <c r="V6" s="2">
        <v>2.28250939566798E-3</v>
      </c>
      <c r="W6" s="5">
        <v>2.2977703535852398E-3</v>
      </c>
      <c r="X6" t="b">
        <f t="shared" si="0"/>
        <v>0</v>
      </c>
    </row>
    <row r="7" spans="1:24" x14ac:dyDescent="0.4">
      <c r="A7" s="2">
        <v>143640</v>
      </c>
      <c r="B7" s="2">
        <v>4</v>
      </c>
      <c r="C7" s="2">
        <v>5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6</v>
      </c>
      <c r="K7" s="2">
        <v>23</v>
      </c>
      <c r="L7" s="2">
        <v>2.2937671333030899E-3</v>
      </c>
      <c r="M7" s="2">
        <v>2.3748628814724798E-3</v>
      </c>
      <c r="N7" s="2">
        <v>6.1525933748485197E-4</v>
      </c>
      <c r="O7" s="2">
        <v>1.0240085148875899E-3</v>
      </c>
      <c r="P7" s="2">
        <v>9.2394653790661696E-4</v>
      </c>
      <c r="Q7" s="5">
        <v>2.3748628814724798E-3</v>
      </c>
      <c r="R7" s="2">
        <v>4.7401353898512901E-4</v>
      </c>
      <c r="S7" s="2">
        <v>3.3901535980340698E-4</v>
      </c>
      <c r="T7" s="2">
        <v>2.45324040214378E-4</v>
      </c>
      <c r="U7" s="2">
        <v>2.3211378687348899E-4</v>
      </c>
      <c r="V7" s="2">
        <v>6.2102697603227898E-4</v>
      </c>
      <c r="W7" s="5">
        <v>6.2102697603227898E-4</v>
      </c>
      <c r="X7" t="b">
        <f t="shared" si="0"/>
        <v>0</v>
      </c>
    </row>
    <row r="8" spans="1:24" x14ac:dyDescent="0.4">
      <c r="A8" s="2">
        <v>155021</v>
      </c>
      <c r="B8" s="2">
        <v>6</v>
      </c>
      <c r="C8" s="2">
        <v>7</v>
      </c>
      <c r="D8" s="2">
        <v>6</v>
      </c>
      <c r="E8" s="2">
        <v>7</v>
      </c>
      <c r="F8" s="2">
        <v>7</v>
      </c>
      <c r="G8" s="2">
        <v>7</v>
      </c>
      <c r="H8" s="2">
        <v>7</v>
      </c>
      <c r="I8" s="2">
        <v>6</v>
      </c>
      <c r="J8" s="2">
        <v>7</v>
      </c>
      <c r="K8" s="2">
        <v>25</v>
      </c>
      <c r="L8" s="2">
        <v>2.6036168778167299E-3</v>
      </c>
      <c r="M8" s="2">
        <v>1.87541477756147E-3</v>
      </c>
      <c r="N8" s="2">
        <v>1.9215636729150701E-3</v>
      </c>
      <c r="O8" s="2">
        <v>1.7057393133455001E-3</v>
      </c>
      <c r="P8" s="2">
        <v>1.7681248198508899E-3</v>
      </c>
      <c r="Q8" s="5">
        <v>2.6036168778167299E-3</v>
      </c>
      <c r="R8" s="2">
        <v>1.1121804563066699E-3</v>
      </c>
      <c r="S8" s="2">
        <v>1.02630089824551E-3</v>
      </c>
      <c r="T8" s="2">
        <v>1.2407691560126701E-3</v>
      </c>
      <c r="U8" s="2">
        <v>1.4214848170106501E-3</v>
      </c>
      <c r="V8" s="2">
        <v>1.26323029036989E-3</v>
      </c>
      <c r="W8" s="5">
        <v>1.4214848170106501E-3</v>
      </c>
      <c r="X8" t="b">
        <f t="shared" si="0"/>
        <v>0</v>
      </c>
    </row>
    <row r="9" spans="1:24" x14ac:dyDescent="0.4">
      <c r="A9" s="2">
        <v>154457</v>
      </c>
      <c r="B9" s="2">
        <v>5</v>
      </c>
      <c r="C9" s="2">
        <v>4</v>
      </c>
      <c r="D9" s="2">
        <v>5</v>
      </c>
      <c r="E9" s="2">
        <v>5</v>
      </c>
      <c r="F9" s="2">
        <v>5</v>
      </c>
      <c r="G9" s="2">
        <v>5</v>
      </c>
      <c r="H9" s="2">
        <v>6</v>
      </c>
      <c r="I9" s="2">
        <v>5</v>
      </c>
      <c r="J9" s="2">
        <v>7</v>
      </c>
      <c r="K9" s="2">
        <v>26</v>
      </c>
      <c r="L9" s="2">
        <v>3.1903481200278301E-3</v>
      </c>
      <c r="M9" s="2">
        <v>3.1524020627492402E-3</v>
      </c>
      <c r="N9" s="2">
        <v>2.8141551731395401E-3</v>
      </c>
      <c r="O9" s="2">
        <v>2.46269506846918E-3</v>
      </c>
      <c r="P9" s="2">
        <v>2.4860400748972699E-3</v>
      </c>
      <c r="Q9" s="5">
        <v>3.1903481200278301E-3</v>
      </c>
      <c r="R9" s="3">
        <v>8.0771297261139602E-5</v>
      </c>
      <c r="S9" s="2">
        <v>5.0017023031700904E-4</v>
      </c>
      <c r="T9" s="2">
        <v>5.3051532855574702E-4</v>
      </c>
      <c r="U9" s="2">
        <v>4.5922024501188202E-4</v>
      </c>
      <c r="V9" s="2">
        <v>4.3277413378395302E-4</v>
      </c>
      <c r="W9" s="5">
        <v>5.3051532855574702E-4</v>
      </c>
      <c r="X9" t="b">
        <f t="shared" si="0"/>
        <v>0</v>
      </c>
    </row>
    <row r="10" spans="1:24" x14ac:dyDescent="0.4">
      <c r="A10" s="2">
        <v>131319</v>
      </c>
      <c r="B10" s="2">
        <v>5</v>
      </c>
      <c r="C10" s="2">
        <v>5</v>
      </c>
      <c r="D10" s="2">
        <v>2</v>
      </c>
      <c r="E10" s="2">
        <v>2</v>
      </c>
      <c r="F10" s="2">
        <v>5</v>
      </c>
      <c r="G10" s="2">
        <v>5</v>
      </c>
      <c r="H10" s="2">
        <v>3</v>
      </c>
      <c r="I10" s="2">
        <v>5</v>
      </c>
      <c r="J10" s="2">
        <v>5</v>
      </c>
      <c r="K10" s="2">
        <v>27</v>
      </c>
      <c r="L10" s="2">
        <v>1.7030452195049199E-3</v>
      </c>
      <c r="M10" s="2">
        <v>1.85239810829296E-3</v>
      </c>
      <c r="N10" s="2">
        <v>1.4339721837423E-3</v>
      </c>
      <c r="O10" s="2">
        <v>9.30634342324987E-4</v>
      </c>
      <c r="P10" s="2">
        <v>8.5724335798664699E-4</v>
      </c>
      <c r="Q10" s="5">
        <v>1.85239810829296E-3</v>
      </c>
      <c r="R10" s="2">
        <v>1.6571217261627199E-3</v>
      </c>
      <c r="S10" s="2">
        <v>1.88694047314041E-3</v>
      </c>
      <c r="T10" s="2">
        <v>1.7069796221093E-3</v>
      </c>
      <c r="U10" s="2">
        <v>1.9614634119298202E-3</v>
      </c>
      <c r="V10" s="2">
        <v>2.1968731616448501E-3</v>
      </c>
      <c r="W10" s="5">
        <v>2.1968731616448501E-3</v>
      </c>
      <c r="X10" t="b">
        <f t="shared" si="0"/>
        <v>0</v>
      </c>
    </row>
    <row r="11" spans="1:24" x14ac:dyDescent="0.4">
      <c r="A11" s="2">
        <v>114156</v>
      </c>
      <c r="B11" s="2">
        <v>5</v>
      </c>
      <c r="C11" s="2">
        <v>5</v>
      </c>
      <c r="D11" s="2">
        <v>6</v>
      </c>
      <c r="E11" s="2">
        <v>4</v>
      </c>
      <c r="F11" s="2">
        <v>6</v>
      </c>
      <c r="G11" s="2">
        <v>7</v>
      </c>
      <c r="H11" s="2">
        <v>7</v>
      </c>
      <c r="I11" s="2">
        <v>4</v>
      </c>
      <c r="J11" s="2">
        <v>7</v>
      </c>
      <c r="K11" s="2">
        <v>29</v>
      </c>
      <c r="L11" s="2">
        <v>7.6769313736946201E-4</v>
      </c>
      <c r="M11" s="2">
        <v>1.2046417778651601E-3</v>
      </c>
      <c r="N11" s="2">
        <v>6.1724918337602297E-4</v>
      </c>
      <c r="O11" s="2">
        <v>7.2844247468728497E-4</v>
      </c>
      <c r="P11" s="2">
        <v>6.92108827808124E-4</v>
      </c>
      <c r="Q11" s="5">
        <v>1.2046417778651601E-3</v>
      </c>
      <c r="R11" s="2">
        <v>9.3657078911635295E-4</v>
      </c>
      <c r="S11" s="2">
        <v>1.6761054762065501E-3</v>
      </c>
      <c r="T11" s="2">
        <v>7.7057901084331905E-4</v>
      </c>
      <c r="U11" s="2">
        <v>1.06029784942796E-3</v>
      </c>
      <c r="V11" s="2">
        <v>1.12753042079671E-3</v>
      </c>
      <c r="W11" s="5">
        <v>1.6761054762065501E-3</v>
      </c>
      <c r="X11" t="b">
        <f t="shared" si="0"/>
        <v>0</v>
      </c>
    </row>
    <row r="12" spans="1:24" x14ac:dyDescent="0.4">
      <c r="A12" s="2">
        <v>160347</v>
      </c>
      <c r="B12" s="2">
        <v>5</v>
      </c>
      <c r="C12" s="2">
        <v>4</v>
      </c>
      <c r="D12" s="2">
        <v>5</v>
      </c>
      <c r="E12" s="2">
        <v>6</v>
      </c>
      <c r="F12" s="2">
        <v>6</v>
      </c>
      <c r="G12" s="2">
        <v>6</v>
      </c>
      <c r="H12" s="2">
        <v>6</v>
      </c>
      <c r="I12" s="2">
        <v>4</v>
      </c>
      <c r="J12" s="2">
        <v>7</v>
      </c>
      <c r="K12" s="2">
        <v>29</v>
      </c>
      <c r="L12" s="2">
        <v>3.6856707076237099E-3</v>
      </c>
      <c r="M12" s="2">
        <v>4.4229605937940999E-3</v>
      </c>
      <c r="N12" s="2">
        <v>3.6355914220052E-3</v>
      </c>
      <c r="O12" s="2">
        <v>3.07637588760123E-3</v>
      </c>
      <c r="P12" s="2">
        <v>2.8353594985470699E-3</v>
      </c>
      <c r="Q12" s="5">
        <v>4.4229605937940999E-3</v>
      </c>
      <c r="R12" s="2">
        <v>1.80304940325282E-3</v>
      </c>
      <c r="S12" s="2">
        <v>1.4516377893362101E-3</v>
      </c>
      <c r="T12" s="2">
        <v>1.86881467890209E-3</v>
      </c>
      <c r="U12" s="2">
        <v>1.48877585938256E-3</v>
      </c>
      <c r="V12" s="2">
        <v>1.0871907752237799E-3</v>
      </c>
      <c r="W12" s="5">
        <v>1.86881467890209E-3</v>
      </c>
      <c r="X12" t="b">
        <f t="shared" si="0"/>
        <v>0</v>
      </c>
    </row>
    <row r="13" spans="1:24" x14ac:dyDescent="0.4">
      <c r="A13" s="2">
        <v>162150</v>
      </c>
      <c r="B13" s="2">
        <v>7</v>
      </c>
      <c r="C13" s="2">
        <v>7</v>
      </c>
      <c r="D13" s="2">
        <v>5</v>
      </c>
      <c r="E13" s="2">
        <v>7</v>
      </c>
      <c r="F13" s="2">
        <v>6</v>
      </c>
      <c r="G13" s="2">
        <v>7</v>
      </c>
      <c r="H13" s="2">
        <v>7</v>
      </c>
      <c r="I13" s="2">
        <v>5</v>
      </c>
      <c r="J13" s="2">
        <v>7</v>
      </c>
      <c r="K13" s="2">
        <v>31</v>
      </c>
      <c r="L13" s="2">
        <v>2.4468383330660199E-3</v>
      </c>
      <c r="M13" s="2">
        <v>2.4476931387508098E-3</v>
      </c>
      <c r="N13" s="2">
        <v>1.83917094734609E-3</v>
      </c>
      <c r="O13" s="2">
        <v>1.61301161140881E-3</v>
      </c>
      <c r="P13" s="2">
        <v>1.41673202865655E-3</v>
      </c>
      <c r="Q13" s="5">
        <v>2.4476931387508098E-3</v>
      </c>
      <c r="R13" s="2">
        <v>3.4367099725285399E-3</v>
      </c>
      <c r="S13" s="2">
        <v>3.7117275855910099E-3</v>
      </c>
      <c r="T13" s="2">
        <v>3.9289085800901999E-3</v>
      </c>
      <c r="U13" s="2">
        <v>3.5776093144976799E-3</v>
      </c>
      <c r="V13" s="2">
        <v>3.5964640731309598E-3</v>
      </c>
      <c r="W13" s="5">
        <v>3.9289085800901999E-3</v>
      </c>
      <c r="X13" t="b">
        <f t="shared" si="0"/>
        <v>0</v>
      </c>
    </row>
    <row r="14" spans="1:24" x14ac:dyDescent="0.4">
      <c r="A14" s="2">
        <v>153433</v>
      </c>
      <c r="B14" s="2">
        <v>2</v>
      </c>
      <c r="C14" s="2">
        <v>5</v>
      </c>
      <c r="D14" s="2">
        <v>2</v>
      </c>
      <c r="E14" s="2">
        <v>2</v>
      </c>
      <c r="F14" s="2">
        <v>2</v>
      </c>
      <c r="G14" s="2">
        <v>3</v>
      </c>
      <c r="H14" s="2">
        <v>2</v>
      </c>
      <c r="I14" s="2">
        <v>2</v>
      </c>
      <c r="J14" s="2">
        <v>4</v>
      </c>
      <c r="K14" s="2">
        <v>34</v>
      </c>
      <c r="L14" s="2">
        <v>4.7698642184135199E-4</v>
      </c>
      <c r="M14" s="2">
        <v>4.2330639502308198E-4</v>
      </c>
      <c r="N14" s="2">
        <v>2.9793458759175203E-4</v>
      </c>
      <c r="O14" s="2">
        <v>2.8966032794297498E-4</v>
      </c>
      <c r="P14" s="2">
        <v>2.52987189812037E-4</v>
      </c>
      <c r="Q14" s="5">
        <v>4.7698642184135199E-4</v>
      </c>
      <c r="R14" s="2">
        <v>4.1961584902414596E-3</v>
      </c>
      <c r="S14" s="2">
        <v>4.1463336018089303E-3</v>
      </c>
      <c r="T14" s="2">
        <v>4.1818631201502301E-3</v>
      </c>
      <c r="U14" s="2">
        <v>4.6091424993308597E-3</v>
      </c>
      <c r="V14" s="2">
        <v>4.4932330343163598E-3</v>
      </c>
      <c r="W14" s="5">
        <v>4.6091424993308597E-3</v>
      </c>
      <c r="X14" t="b">
        <f t="shared" si="0"/>
        <v>0</v>
      </c>
    </row>
    <row r="15" spans="1:24" x14ac:dyDescent="0.4">
      <c r="A15" s="2">
        <v>102104</v>
      </c>
      <c r="B15" s="2">
        <v>7</v>
      </c>
      <c r="C15" s="2">
        <v>7</v>
      </c>
      <c r="D15" s="2">
        <v>5</v>
      </c>
      <c r="E15" s="2">
        <v>5</v>
      </c>
      <c r="F15" s="2">
        <v>5</v>
      </c>
      <c r="G15" s="2">
        <v>7</v>
      </c>
      <c r="H15" s="2">
        <v>7</v>
      </c>
      <c r="I15" s="2">
        <v>7</v>
      </c>
      <c r="J15" s="2">
        <v>7</v>
      </c>
      <c r="K15" s="2">
        <v>35</v>
      </c>
      <c r="L15" s="2">
        <v>5.7701336892157496E-4</v>
      </c>
      <c r="M15" s="2">
        <v>1.6467325360058899E-4</v>
      </c>
      <c r="N15" s="2">
        <v>4.00963305033918E-4</v>
      </c>
      <c r="O15" s="2">
        <v>3.2788010382733801E-4</v>
      </c>
      <c r="P15" s="2">
        <v>1.9130412966406E-4</v>
      </c>
      <c r="Q15" s="5">
        <v>5.7701336892157496E-4</v>
      </c>
      <c r="R15" s="2">
        <v>3.5415161847756E-3</v>
      </c>
      <c r="S15" s="2">
        <v>3.9814611505538597E-3</v>
      </c>
      <c r="T15" s="2">
        <v>3.5047826309505502E-3</v>
      </c>
      <c r="U15" s="2">
        <v>3.40008807540459E-3</v>
      </c>
      <c r="V15" s="2">
        <v>3.3539999178303602E-3</v>
      </c>
      <c r="W15" s="5">
        <v>3.9814611505538597E-3</v>
      </c>
      <c r="X15" t="b">
        <f t="shared" si="0"/>
        <v>0</v>
      </c>
    </row>
    <row r="16" spans="1:24" x14ac:dyDescent="0.4">
      <c r="A16">
        <v>130017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4</v>
      </c>
      <c r="J16">
        <v>7</v>
      </c>
      <c r="K16">
        <v>40</v>
      </c>
      <c r="L16">
        <v>3.5994893459031499E-3</v>
      </c>
      <c r="M16">
        <v>3.38650464881817E-3</v>
      </c>
      <c r="N16">
        <v>2.7920952666246001E-3</v>
      </c>
      <c r="O16">
        <v>2.35992204418733E-3</v>
      </c>
      <c r="P16">
        <v>2.1491973071198199E-3</v>
      </c>
      <c r="Q16" s="5">
        <v>3.5994893459031499E-3</v>
      </c>
      <c r="R16">
        <v>1.21852113833897E-3</v>
      </c>
      <c r="S16">
        <v>1.57465125314071E-3</v>
      </c>
      <c r="T16">
        <v>9.70276698380123E-4</v>
      </c>
      <c r="U16">
        <v>7.9388794946211295E-4</v>
      </c>
      <c r="V16">
        <v>7.04895846698416E-4</v>
      </c>
      <c r="W16" s="5">
        <v>1.57465125314071E-3</v>
      </c>
      <c r="X16" t="b">
        <f t="shared" si="0"/>
        <v>0</v>
      </c>
    </row>
    <row r="17" spans="1:24" x14ac:dyDescent="0.4">
      <c r="A17">
        <v>140757</v>
      </c>
      <c r="B17">
        <v>6</v>
      </c>
      <c r="C17">
        <v>5</v>
      </c>
      <c r="D17">
        <v>5</v>
      </c>
      <c r="E17">
        <v>5</v>
      </c>
      <c r="F17">
        <v>5</v>
      </c>
      <c r="G17">
        <v>6</v>
      </c>
      <c r="H17">
        <v>5</v>
      </c>
      <c r="I17">
        <v>4</v>
      </c>
      <c r="J17">
        <v>6</v>
      </c>
      <c r="K17">
        <v>41</v>
      </c>
      <c r="L17">
        <v>2.77915030701192E-3</v>
      </c>
      <c r="M17">
        <v>2.7759811629512999E-3</v>
      </c>
      <c r="N17">
        <v>2.4152270154470501E-3</v>
      </c>
      <c r="O17">
        <v>2.11922853034451E-3</v>
      </c>
      <c r="P17">
        <v>2.1662521026291001E-3</v>
      </c>
      <c r="Q17" s="5">
        <v>2.77915030701192E-3</v>
      </c>
      <c r="R17">
        <v>6.7053721607479499E-3</v>
      </c>
      <c r="S17">
        <v>4.9052969329521599E-3</v>
      </c>
      <c r="T17">
        <v>6.6247101512655303E-3</v>
      </c>
      <c r="U17">
        <v>6.5828956770715898E-3</v>
      </c>
      <c r="V17">
        <v>6.0880189283029004E-3</v>
      </c>
      <c r="W17" s="5">
        <v>6.7053721607479499E-3</v>
      </c>
      <c r="X17" t="b">
        <f t="shared" si="0"/>
        <v>0</v>
      </c>
    </row>
    <row r="18" spans="1:24" x14ac:dyDescent="0.4">
      <c r="A18">
        <v>164521</v>
      </c>
      <c r="B18">
        <v>5</v>
      </c>
      <c r="C18">
        <v>5</v>
      </c>
      <c r="D18">
        <v>6</v>
      </c>
      <c r="E18">
        <v>6</v>
      </c>
      <c r="F18">
        <v>6</v>
      </c>
      <c r="G18">
        <v>6</v>
      </c>
      <c r="H18">
        <v>5</v>
      </c>
      <c r="I18">
        <v>5</v>
      </c>
      <c r="J18">
        <v>6</v>
      </c>
      <c r="K18">
        <v>42</v>
      </c>
      <c r="L18">
        <v>2.04100970932452E-3</v>
      </c>
      <c r="M18">
        <v>1.40353407504068E-3</v>
      </c>
      <c r="N18">
        <v>1.8761518668323201E-3</v>
      </c>
      <c r="O18">
        <v>1.8262964513536799E-3</v>
      </c>
      <c r="P18">
        <v>1.6560967679494199E-3</v>
      </c>
      <c r="Q18" s="5">
        <v>2.04100970932452E-3</v>
      </c>
      <c r="R18">
        <v>1.7768846361549901E-3</v>
      </c>
      <c r="S18">
        <v>2.1030752202678602E-3</v>
      </c>
      <c r="T18">
        <v>1.8072135860783801E-3</v>
      </c>
      <c r="U18">
        <v>2.2149047198020098E-3</v>
      </c>
      <c r="V18">
        <v>2.3071168508567099E-3</v>
      </c>
      <c r="W18" s="5">
        <v>2.3071168508567099E-3</v>
      </c>
      <c r="X18" t="b">
        <f t="shared" si="0"/>
        <v>0</v>
      </c>
    </row>
    <row r="19" spans="1:24" x14ac:dyDescent="0.4">
      <c r="A19">
        <v>142941</v>
      </c>
      <c r="B19">
        <v>5</v>
      </c>
      <c r="C19">
        <v>3</v>
      </c>
      <c r="D19">
        <v>4</v>
      </c>
      <c r="E19">
        <v>3</v>
      </c>
      <c r="F19">
        <v>3</v>
      </c>
      <c r="G19">
        <v>4</v>
      </c>
      <c r="H19">
        <v>5</v>
      </c>
      <c r="I19">
        <v>4</v>
      </c>
      <c r="J19">
        <v>5</v>
      </c>
      <c r="K19">
        <v>45</v>
      </c>
      <c r="L19">
        <v>2.9651745329719501E-3</v>
      </c>
      <c r="M19">
        <v>3.0357441383739299E-3</v>
      </c>
      <c r="N19">
        <v>2.3381370603774401E-3</v>
      </c>
      <c r="O19">
        <v>1.80734391303538E-3</v>
      </c>
      <c r="P19">
        <v>1.6451039191174299E-3</v>
      </c>
      <c r="Q19" s="5">
        <v>3.0357441383739299E-3</v>
      </c>
      <c r="R19">
        <v>1.2857564587994601E-3</v>
      </c>
      <c r="S19">
        <v>8.4652609590940499E-4</v>
      </c>
      <c r="T19">
        <v>1.26879001389013E-3</v>
      </c>
      <c r="U19">
        <v>1.2221128961361601E-3</v>
      </c>
      <c r="V19">
        <v>9.4151544548093304E-4</v>
      </c>
      <c r="W19" s="5">
        <v>1.2857564587994601E-3</v>
      </c>
      <c r="X19" t="b">
        <f t="shared" si="0"/>
        <v>0</v>
      </c>
    </row>
    <row r="20" spans="1:24" x14ac:dyDescent="0.4">
      <c r="A20">
        <v>132755</v>
      </c>
      <c r="B20">
        <v>6</v>
      </c>
      <c r="C20">
        <v>6</v>
      </c>
      <c r="D20">
        <v>6</v>
      </c>
      <c r="E20">
        <v>6</v>
      </c>
      <c r="F20">
        <v>7</v>
      </c>
      <c r="G20">
        <v>6</v>
      </c>
      <c r="H20">
        <v>6</v>
      </c>
      <c r="I20">
        <v>6</v>
      </c>
      <c r="J20">
        <v>7</v>
      </c>
      <c r="K20">
        <v>46</v>
      </c>
      <c r="L20">
        <v>3.6342005026690398E-3</v>
      </c>
      <c r="M20">
        <v>4.3734746775668798E-3</v>
      </c>
      <c r="N20">
        <v>2.7063277680382499E-3</v>
      </c>
      <c r="O20">
        <v>2.3225240742625799E-3</v>
      </c>
      <c r="P20">
        <v>2.6832710151708499E-3</v>
      </c>
      <c r="Q20" s="5">
        <v>4.3734746775668798E-3</v>
      </c>
      <c r="R20">
        <v>6.8924412146331704E-4</v>
      </c>
      <c r="S20">
        <v>5.0964429949940104E-4</v>
      </c>
      <c r="T20">
        <v>6.7601537735550998E-4</v>
      </c>
      <c r="U20">
        <v>4.7377041217788702E-4</v>
      </c>
      <c r="V20">
        <v>7.3050491063775204E-4</v>
      </c>
      <c r="W20" s="5">
        <v>7.3050491063775204E-4</v>
      </c>
      <c r="X20" t="b">
        <f t="shared" si="0"/>
        <v>0</v>
      </c>
    </row>
    <row r="21" spans="1:24" x14ac:dyDescent="0.4">
      <c r="A21">
        <v>144033</v>
      </c>
      <c r="B21">
        <v>6</v>
      </c>
      <c r="C21">
        <v>6</v>
      </c>
      <c r="D21">
        <v>6</v>
      </c>
      <c r="E21">
        <v>6</v>
      </c>
      <c r="F21">
        <v>5</v>
      </c>
      <c r="G21">
        <v>6</v>
      </c>
      <c r="H21">
        <v>6</v>
      </c>
      <c r="I21">
        <v>6</v>
      </c>
      <c r="J21">
        <v>5</v>
      </c>
      <c r="K21">
        <v>49</v>
      </c>
      <c r="L21">
        <v>4.2101401965751696E-3</v>
      </c>
      <c r="M21">
        <v>3.4907861039552499E-3</v>
      </c>
      <c r="N21">
        <v>4.2651194514818896E-3</v>
      </c>
      <c r="O21">
        <v>3.3971112880966099E-3</v>
      </c>
      <c r="P21">
        <v>3.4495629954907001E-3</v>
      </c>
      <c r="Q21" s="5">
        <v>4.2651194514818896E-3</v>
      </c>
      <c r="R21">
        <v>2.7846940755567001E-3</v>
      </c>
      <c r="S21">
        <v>2.2674318446240702E-3</v>
      </c>
      <c r="T21">
        <v>2.4259496437163399E-3</v>
      </c>
      <c r="U21">
        <v>1.7525596082496001E-3</v>
      </c>
      <c r="V21">
        <v>2.3457398981875299E-3</v>
      </c>
      <c r="W21" s="5">
        <v>2.7846940755567001E-3</v>
      </c>
      <c r="X21" t="b">
        <f t="shared" si="0"/>
        <v>0</v>
      </c>
    </row>
    <row r="22" spans="1:24" x14ac:dyDescent="0.4">
      <c r="A22">
        <v>162755</v>
      </c>
      <c r="B22">
        <v>7</v>
      </c>
      <c r="C22">
        <v>7</v>
      </c>
      <c r="D22">
        <v>7</v>
      </c>
      <c r="E22">
        <v>7</v>
      </c>
      <c r="F22">
        <v>7</v>
      </c>
      <c r="G22">
        <v>7</v>
      </c>
      <c r="H22">
        <v>5</v>
      </c>
      <c r="I22">
        <v>6</v>
      </c>
      <c r="J22">
        <v>7</v>
      </c>
      <c r="K22">
        <v>49</v>
      </c>
      <c r="L22">
        <v>1.07934408808374E-3</v>
      </c>
      <c r="M22">
        <v>1.3987368801638899E-3</v>
      </c>
      <c r="N22">
        <v>1.2270297499109501E-3</v>
      </c>
      <c r="O22">
        <v>1.2946087292151601E-3</v>
      </c>
      <c r="P22">
        <v>1.45413135363592E-3</v>
      </c>
      <c r="Q22" s="5">
        <v>1.45413135363592E-3</v>
      </c>
      <c r="R22">
        <v>2.3977540483863802E-3</v>
      </c>
      <c r="S22">
        <v>2.43659422960884E-3</v>
      </c>
      <c r="T22">
        <v>2.5734787686541001E-3</v>
      </c>
      <c r="U22">
        <v>2.1893643417011301E-3</v>
      </c>
      <c r="V22">
        <v>2.3536689161119898E-3</v>
      </c>
      <c r="W22" s="5">
        <v>2.5734787686541001E-3</v>
      </c>
      <c r="X22" t="b">
        <f t="shared" si="0"/>
        <v>1</v>
      </c>
    </row>
    <row r="23" spans="1:24" x14ac:dyDescent="0.4">
      <c r="A23">
        <v>163843</v>
      </c>
      <c r="B23">
        <v>5</v>
      </c>
      <c r="C23">
        <v>7</v>
      </c>
      <c r="D23">
        <v>7</v>
      </c>
      <c r="E23">
        <v>5</v>
      </c>
      <c r="F23">
        <v>6</v>
      </c>
      <c r="G23">
        <v>4</v>
      </c>
      <c r="H23">
        <v>3</v>
      </c>
      <c r="I23">
        <v>3</v>
      </c>
      <c r="J23">
        <v>7</v>
      </c>
      <c r="K23">
        <v>49</v>
      </c>
      <c r="L23">
        <v>2.4452291093856001E-3</v>
      </c>
      <c r="M23">
        <v>2.1894088794971399E-3</v>
      </c>
      <c r="N23">
        <v>1.5491144237138499E-3</v>
      </c>
      <c r="O23">
        <v>1.3655372621675899E-3</v>
      </c>
      <c r="P23">
        <v>1.1764683107373601E-3</v>
      </c>
      <c r="Q23" s="5">
        <v>2.4452291093856001E-3</v>
      </c>
      <c r="R23">
        <v>9.2225005875468103E-4</v>
      </c>
      <c r="S23">
        <v>1.3173440216826999E-3</v>
      </c>
      <c r="T23">
        <v>8.5386810508558599E-4</v>
      </c>
      <c r="U23">
        <v>1.21613309490609E-3</v>
      </c>
      <c r="V23">
        <v>1.3495195120099E-3</v>
      </c>
      <c r="W23" s="5">
        <v>1.3495195120099E-3</v>
      </c>
      <c r="X23" t="b">
        <f t="shared" si="0"/>
        <v>0</v>
      </c>
    </row>
    <row r="24" spans="1:24" x14ac:dyDescent="0.4">
      <c r="A24" s="4">
        <v>151304</v>
      </c>
      <c r="B24" s="4">
        <v>6</v>
      </c>
      <c r="C24" s="4">
        <v>6</v>
      </c>
      <c r="D24" s="4">
        <v>3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4">
        <v>6</v>
      </c>
      <c r="K24" s="4">
        <v>50</v>
      </c>
      <c r="L24" s="4">
        <v>2.4164915361414201E-3</v>
      </c>
      <c r="M24" s="4">
        <v>2.4842389422231599E-3</v>
      </c>
      <c r="N24" s="4">
        <v>2.46348278909747E-3</v>
      </c>
      <c r="O24" s="4">
        <v>2.56555336865504E-3</v>
      </c>
      <c r="P24" s="4">
        <v>2.63486847422167E-3</v>
      </c>
      <c r="Q24" s="5">
        <v>2.63486847422167E-3</v>
      </c>
      <c r="R24" s="4">
        <v>3.4038310331441198E-3</v>
      </c>
      <c r="S24" s="4">
        <v>2.9854703819718301E-3</v>
      </c>
      <c r="T24" s="4">
        <v>3.36773204895424E-3</v>
      </c>
      <c r="U24" s="4">
        <v>3.2712761946867E-3</v>
      </c>
      <c r="V24" s="4">
        <v>3.0198092793587402E-3</v>
      </c>
      <c r="W24" s="5">
        <v>3.4038310331441198E-3</v>
      </c>
      <c r="X24" t="b">
        <f t="shared" si="0"/>
        <v>1</v>
      </c>
    </row>
    <row r="25" spans="1:24" x14ac:dyDescent="0.4">
      <c r="A25" s="4">
        <v>155638</v>
      </c>
      <c r="B25" s="4">
        <v>4</v>
      </c>
      <c r="C25" s="4">
        <v>4</v>
      </c>
      <c r="D25" s="4">
        <v>5</v>
      </c>
      <c r="E25" s="4">
        <v>6</v>
      </c>
      <c r="F25" s="4">
        <v>5</v>
      </c>
      <c r="G25" s="4">
        <v>4</v>
      </c>
      <c r="H25" s="4">
        <v>5</v>
      </c>
      <c r="I25" s="4">
        <v>6</v>
      </c>
      <c r="J25" s="4">
        <v>6</v>
      </c>
      <c r="K25" s="4">
        <v>51</v>
      </c>
      <c r="L25" s="4">
        <v>4.1536436816037503E-3</v>
      </c>
      <c r="M25" s="4">
        <v>3.2588323537070499E-3</v>
      </c>
      <c r="N25" s="4">
        <v>3.2220996051841502E-3</v>
      </c>
      <c r="O25" s="4">
        <v>3.3826818078934698E-3</v>
      </c>
      <c r="P25" s="4">
        <v>3.7409889226530601E-3</v>
      </c>
      <c r="Q25" s="5">
        <v>4.1536436816037503E-3</v>
      </c>
      <c r="R25" s="4">
        <v>6.7828397721325596E-4</v>
      </c>
      <c r="S25" s="4">
        <v>1.01319815040079E-3</v>
      </c>
      <c r="T25" s="4">
        <v>8.3558623953505697E-4</v>
      </c>
      <c r="U25" s="4">
        <v>5.1798639389233304E-4</v>
      </c>
      <c r="V25" s="4">
        <v>6.7211465871808097E-4</v>
      </c>
      <c r="W25" s="5">
        <v>1.01319815040079E-3</v>
      </c>
      <c r="X25" t="b">
        <f t="shared" si="0"/>
        <v>0</v>
      </c>
    </row>
    <row r="26" spans="1:24" x14ac:dyDescent="0.4">
      <c r="A26" s="4">
        <v>131828</v>
      </c>
      <c r="B26" s="4">
        <v>2</v>
      </c>
      <c r="C26" s="4">
        <v>4</v>
      </c>
      <c r="D26" s="4">
        <v>3</v>
      </c>
      <c r="E26" s="4">
        <v>3</v>
      </c>
      <c r="F26" s="4">
        <v>4</v>
      </c>
      <c r="G26" s="4">
        <v>4</v>
      </c>
      <c r="H26" s="4">
        <v>4</v>
      </c>
      <c r="I26" s="4">
        <v>4</v>
      </c>
      <c r="J26" s="4">
        <v>6</v>
      </c>
      <c r="K26" s="4">
        <v>53</v>
      </c>
      <c r="L26" s="4">
        <v>4.8289774280514397E-3</v>
      </c>
      <c r="M26" s="4">
        <v>4.1656399936368304E-3</v>
      </c>
      <c r="N26" s="4">
        <v>4.54176167994246E-3</v>
      </c>
      <c r="O26" s="4">
        <v>4.3140143280062599E-3</v>
      </c>
      <c r="P26" s="4">
        <v>4.51967960811883E-3</v>
      </c>
      <c r="Q26" s="5">
        <v>4.8289774280514397E-3</v>
      </c>
      <c r="R26" s="4">
        <v>8.9388271441215295E-4</v>
      </c>
      <c r="S26" s="4">
        <v>5.1835186764304098E-4</v>
      </c>
      <c r="T26" s="4">
        <v>1.04565041981963E-3</v>
      </c>
      <c r="U26" s="4">
        <v>1.2213064064812099E-3</v>
      </c>
      <c r="V26" s="4">
        <v>1.31652128509451E-3</v>
      </c>
      <c r="W26" s="5">
        <v>1.31652128509451E-3</v>
      </c>
      <c r="X26" t="b">
        <f t="shared" si="0"/>
        <v>0</v>
      </c>
    </row>
    <row r="27" spans="1:24" x14ac:dyDescent="0.4">
      <c r="A27" s="4">
        <v>143819</v>
      </c>
      <c r="B27" s="4">
        <v>4</v>
      </c>
      <c r="C27" s="4">
        <v>7</v>
      </c>
      <c r="D27" s="4">
        <v>5</v>
      </c>
      <c r="E27" s="4">
        <v>6</v>
      </c>
      <c r="F27" s="4">
        <v>6</v>
      </c>
      <c r="G27" s="4">
        <v>5</v>
      </c>
      <c r="H27" s="4">
        <v>5</v>
      </c>
      <c r="I27" s="4">
        <v>4</v>
      </c>
      <c r="J27" s="4">
        <v>5</v>
      </c>
      <c r="K27" s="4">
        <v>53</v>
      </c>
      <c r="L27" s="4">
        <v>1.9568257644327902E-3</v>
      </c>
      <c r="M27" s="4">
        <v>1.3028395460809E-3</v>
      </c>
      <c r="N27" s="4">
        <v>1.2117349362579201E-3</v>
      </c>
      <c r="O27" s="4">
        <v>9.69195535016398E-4</v>
      </c>
      <c r="P27" s="4">
        <v>1.23921387220704E-3</v>
      </c>
      <c r="Q27" s="5">
        <v>1.9568257644327902E-3</v>
      </c>
      <c r="R27" s="4">
        <v>1.66506990277881E-3</v>
      </c>
      <c r="S27" s="4">
        <v>1.39532424568755E-3</v>
      </c>
      <c r="T27" s="4">
        <v>1.5715756194438701E-3</v>
      </c>
      <c r="U27" s="4">
        <v>1.7292595603548499E-3</v>
      </c>
      <c r="V27" s="4">
        <v>1.68005926586645E-3</v>
      </c>
      <c r="W27" s="5">
        <v>1.7292595603548499E-3</v>
      </c>
      <c r="X27" t="b">
        <f t="shared" si="0"/>
        <v>0</v>
      </c>
    </row>
    <row r="28" spans="1:24" x14ac:dyDescent="0.4">
      <c r="A28" s="4">
        <v>150548</v>
      </c>
      <c r="B28" s="4">
        <v>2</v>
      </c>
      <c r="C28" s="4">
        <v>4</v>
      </c>
      <c r="D28" s="4">
        <v>3</v>
      </c>
      <c r="E28" s="4">
        <v>3</v>
      </c>
      <c r="F28" s="4">
        <v>3</v>
      </c>
      <c r="G28" s="4">
        <v>4</v>
      </c>
      <c r="H28" s="4">
        <v>3</v>
      </c>
      <c r="I28" s="4">
        <v>4</v>
      </c>
      <c r="J28" s="4">
        <v>5</v>
      </c>
      <c r="K28" s="4">
        <v>53</v>
      </c>
      <c r="L28" s="4">
        <v>1.05612547595679E-3</v>
      </c>
      <c r="M28" s="4">
        <v>1.2468387754072099E-3</v>
      </c>
      <c r="N28" s="4">
        <v>8.3193686135263302E-4</v>
      </c>
      <c r="O28" s="4">
        <v>4.9198418937745902E-4</v>
      </c>
      <c r="P28" s="4">
        <v>3.1904579976715903E-4</v>
      </c>
      <c r="Q28" s="5">
        <v>1.2468387754072099E-3</v>
      </c>
      <c r="R28" s="4">
        <v>1.7240980126128601E-3</v>
      </c>
      <c r="S28" s="4">
        <v>1.2478561390562E-3</v>
      </c>
      <c r="T28" s="4">
        <v>1.8928140293908899E-3</v>
      </c>
      <c r="U28" s="4">
        <v>1.5079044018999599E-3</v>
      </c>
      <c r="V28" s="4">
        <v>1.4750251967393601E-3</v>
      </c>
      <c r="W28" s="5">
        <v>1.8928140293908899E-3</v>
      </c>
      <c r="X28" t="b">
        <f t="shared" si="0"/>
        <v>0</v>
      </c>
    </row>
    <row r="29" spans="1:24" x14ac:dyDescent="0.4">
      <c r="A29" s="4">
        <v>155115</v>
      </c>
      <c r="B29" s="4">
        <v>5</v>
      </c>
      <c r="C29" s="4">
        <v>4</v>
      </c>
      <c r="D29" s="4">
        <v>5</v>
      </c>
      <c r="E29" s="4">
        <v>5</v>
      </c>
      <c r="F29" s="4">
        <v>5</v>
      </c>
      <c r="G29" s="4">
        <v>3</v>
      </c>
      <c r="H29" s="4">
        <v>5</v>
      </c>
      <c r="I29" s="4">
        <v>3</v>
      </c>
      <c r="J29" s="4">
        <v>5</v>
      </c>
      <c r="K29" s="4">
        <v>53</v>
      </c>
      <c r="L29" s="4">
        <v>2.1982987164707E-3</v>
      </c>
      <c r="M29" s="4">
        <v>1.6795941696880999E-3</v>
      </c>
      <c r="N29" s="4">
        <v>2.2317591814746602E-3</v>
      </c>
      <c r="O29" s="4">
        <v>2.2566223668947201E-3</v>
      </c>
      <c r="P29" s="4">
        <v>2.3337113953397701E-3</v>
      </c>
      <c r="Q29" s="5">
        <v>2.3337113953397701E-3</v>
      </c>
      <c r="R29" s="4">
        <v>3.8189689206175E-3</v>
      </c>
      <c r="S29" s="4">
        <v>4.2559444913370303E-3</v>
      </c>
      <c r="T29" s="4">
        <v>3.9781463525987402E-3</v>
      </c>
      <c r="U29" s="4">
        <v>3.9844232836315696E-3</v>
      </c>
      <c r="V29" s="4">
        <v>4.0875739136344499E-3</v>
      </c>
      <c r="W29" s="5">
        <v>4.2559444913370303E-3</v>
      </c>
      <c r="X29" t="b">
        <f t="shared" si="0"/>
        <v>1</v>
      </c>
    </row>
    <row r="30" spans="1:24" x14ac:dyDescent="0.4">
      <c r="A30" s="4">
        <v>165308</v>
      </c>
      <c r="B30" s="4">
        <v>5</v>
      </c>
      <c r="C30" s="4">
        <v>6</v>
      </c>
      <c r="D30" s="4">
        <v>2</v>
      </c>
      <c r="E30" s="4">
        <v>2</v>
      </c>
      <c r="F30" s="4">
        <v>3</v>
      </c>
      <c r="G30" s="4">
        <v>6</v>
      </c>
      <c r="H30" s="4">
        <v>4</v>
      </c>
      <c r="I30" s="4">
        <v>4</v>
      </c>
      <c r="J30" s="4">
        <v>6</v>
      </c>
      <c r="K30" s="4">
        <v>53</v>
      </c>
      <c r="L30" s="4">
        <v>2.8066976951488499E-3</v>
      </c>
      <c r="M30" s="4">
        <v>2.4762088586589501E-3</v>
      </c>
      <c r="N30" s="4">
        <v>2.58587504554419E-3</v>
      </c>
      <c r="O30" s="4">
        <v>2.2720651536387499E-3</v>
      </c>
      <c r="P30" s="4">
        <v>2.0804332764830999E-3</v>
      </c>
      <c r="Q30" s="5">
        <v>2.8066976951488499E-3</v>
      </c>
      <c r="R30" s="4">
        <v>7.1362229585214499E-4</v>
      </c>
      <c r="S30" s="4">
        <v>9.8626057946249392E-4</v>
      </c>
      <c r="T30" s="4">
        <v>5.8367420170668495E-4</v>
      </c>
      <c r="U30" s="4">
        <v>6.2302090461818695E-4</v>
      </c>
      <c r="V30" s="4">
        <v>7.0933593724031797E-4</v>
      </c>
      <c r="W30" s="5">
        <v>9.8626057946249392E-4</v>
      </c>
      <c r="X30" t="b">
        <f t="shared" si="0"/>
        <v>0</v>
      </c>
    </row>
    <row r="31" spans="1:24" x14ac:dyDescent="0.4">
      <c r="A31" s="4">
        <v>152219</v>
      </c>
      <c r="B31" s="4">
        <v>3</v>
      </c>
      <c r="C31" s="4">
        <v>3</v>
      </c>
      <c r="D31" s="4">
        <v>3</v>
      </c>
      <c r="E31" s="4">
        <v>3</v>
      </c>
      <c r="F31" s="4">
        <v>3</v>
      </c>
      <c r="G31" s="4">
        <v>4</v>
      </c>
      <c r="H31" s="4">
        <v>4</v>
      </c>
      <c r="I31" s="4">
        <v>4</v>
      </c>
      <c r="J31" s="4">
        <v>4</v>
      </c>
      <c r="K31" s="4">
        <v>54</v>
      </c>
      <c r="L31" s="4">
        <v>9.7380149525350102E-4</v>
      </c>
      <c r="M31" s="4">
        <v>2.0608502086083501E-3</v>
      </c>
      <c r="N31" s="4">
        <v>1.1274314744743599E-3</v>
      </c>
      <c r="O31" s="4">
        <v>1.0391055556502301E-3</v>
      </c>
      <c r="P31" s="4">
        <v>1.16875028268059E-3</v>
      </c>
      <c r="Q31" s="5">
        <v>2.0608502086083501E-3</v>
      </c>
      <c r="R31" s="4">
        <v>9.1796369726815299E-4</v>
      </c>
      <c r="S31" s="4">
        <v>1.0614036799995101E-3</v>
      </c>
      <c r="T31" s="4">
        <v>8.8882181564653396E-4</v>
      </c>
      <c r="U31" s="4">
        <v>8.1103545872251905E-4</v>
      </c>
      <c r="V31" s="4">
        <v>5.3558920554375102E-4</v>
      </c>
      <c r="W31" s="5">
        <v>1.0614036799995101E-3</v>
      </c>
      <c r="X31" t="b">
        <f t="shared" si="0"/>
        <v>0</v>
      </c>
    </row>
    <row r="32" spans="1:24" x14ac:dyDescent="0.4">
      <c r="A32" s="4">
        <v>111932</v>
      </c>
      <c r="B32" s="4">
        <v>6</v>
      </c>
      <c r="C32" s="4">
        <v>3</v>
      </c>
      <c r="D32" s="4">
        <v>5</v>
      </c>
      <c r="E32" s="4">
        <v>5</v>
      </c>
      <c r="F32" s="4">
        <v>4</v>
      </c>
      <c r="G32" s="4">
        <v>3</v>
      </c>
      <c r="H32" s="4">
        <v>5</v>
      </c>
      <c r="I32" s="4">
        <v>3</v>
      </c>
      <c r="J32" s="4">
        <v>4</v>
      </c>
      <c r="K32" s="4">
        <v>55</v>
      </c>
      <c r="L32" s="4">
        <v>1.70880465071177E-3</v>
      </c>
      <c r="M32" s="4">
        <v>1.93185510748805E-3</v>
      </c>
      <c r="N32" s="4">
        <v>1.68301997115671E-3</v>
      </c>
      <c r="O32" s="4">
        <v>1.72287266820103E-3</v>
      </c>
      <c r="P32" s="4">
        <v>1.69949959358939E-3</v>
      </c>
      <c r="Q32" s="5">
        <v>1.93185510748805E-3</v>
      </c>
      <c r="R32" s="4">
        <v>5.6623586064780103E-3</v>
      </c>
      <c r="S32" s="4">
        <v>6.6268975204007898E-3</v>
      </c>
      <c r="T32" s="4">
        <v>6.35907246770128E-3</v>
      </c>
      <c r="U32" s="4">
        <v>6.0989526726273804E-3</v>
      </c>
      <c r="V32" s="4">
        <v>5.8752539024605702E-3</v>
      </c>
      <c r="W32" s="5">
        <v>6.6268975204007898E-3</v>
      </c>
      <c r="X32" t="b">
        <f t="shared" si="0"/>
        <v>0</v>
      </c>
    </row>
    <row r="33" spans="1:24" x14ac:dyDescent="0.4">
      <c r="A33" s="4">
        <v>100404</v>
      </c>
      <c r="B33" s="4">
        <v>7</v>
      </c>
      <c r="C33" s="4">
        <v>7</v>
      </c>
      <c r="D33" s="4">
        <v>7</v>
      </c>
      <c r="E33" s="4">
        <v>7</v>
      </c>
      <c r="F33" s="4">
        <v>7</v>
      </c>
      <c r="G33" s="4">
        <v>7</v>
      </c>
      <c r="H33" s="4">
        <v>7</v>
      </c>
      <c r="I33" s="4">
        <v>7</v>
      </c>
      <c r="J33" s="4">
        <v>7</v>
      </c>
      <c r="K33" s="4">
        <v>56</v>
      </c>
      <c r="L33" s="4">
        <v>4.8265045122736199E-3</v>
      </c>
      <c r="M33" s="4">
        <v>5.3271829628241899E-3</v>
      </c>
      <c r="N33" s="4">
        <v>4.4053336748344201E-3</v>
      </c>
      <c r="O33" s="4">
        <v>4.06445719701975E-3</v>
      </c>
      <c r="P33" s="4">
        <v>3.68316739780538E-3</v>
      </c>
      <c r="Q33" s="5">
        <v>5.3271829628241899E-3</v>
      </c>
      <c r="R33" s="4">
        <v>1.84289213261679E-3</v>
      </c>
      <c r="S33" s="4">
        <v>2.79400748812463E-3</v>
      </c>
      <c r="T33" s="4">
        <v>1.7638179137511301E-3</v>
      </c>
      <c r="U33" s="4">
        <v>1.6074631827914701E-3</v>
      </c>
      <c r="V33" s="4">
        <v>1.9312598599092699E-3</v>
      </c>
      <c r="W33" s="5">
        <v>2.79400748812463E-3</v>
      </c>
      <c r="X33" t="b">
        <f t="shared" si="0"/>
        <v>0</v>
      </c>
    </row>
    <row r="34" spans="1:24" x14ac:dyDescent="0.4">
      <c r="A34" s="4">
        <v>164627</v>
      </c>
      <c r="B34" s="4">
        <v>5</v>
      </c>
      <c r="C34" s="4">
        <v>7</v>
      </c>
      <c r="D34" s="4">
        <v>6</v>
      </c>
      <c r="E34" s="4">
        <v>5</v>
      </c>
      <c r="F34" s="4">
        <v>6</v>
      </c>
      <c r="G34" s="4">
        <v>6</v>
      </c>
      <c r="H34" s="4">
        <v>6</v>
      </c>
      <c r="I34" s="4">
        <v>5</v>
      </c>
      <c r="J34" s="4">
        <v>7</v>
      </c>
      <c r="K34" s="4">
        <v>56</v>
      </c>
      <c r="L34" s="4">
        <v>4.2356694042210404E-3</v>
      </c>
      <c r="M34" s="4">
        <v>2.49159296421186E-3</v>
      </c>
      <c r="N34" s="4">
        <v>3.5484235268299301E-3</v>
      </c>
      <c r="O34" s="4">
        <v>3.0718731459774499E-3</v>
      </c>
      <c r="P34" s="4">
        <v>3.0913063837981702E-3</v>
      </c>
      <c r="Q34" s="5">
        <v>4.2356694042210404E-3</v>
      </c>
      <c r="R34" s="4">
        <v>2.5775238586723801E-3</v>
      </c>
      <c r="S34" s="4">
        <v>1.47974582339815E-3</v>
      </c>
      <c r="T34" s="4">
        <v>2.3421451714120598E-3</v>
      </c>
      <c r="U34" s="4">
        <v>2.8238622008546202E-3</v>
      </c>
      <c r="V34" s="4">
        <v>1.92788688230838E-3</v>
      </c>
      <c r="W34" s="5">
        <v>2.8238622008546202E-3</v>
      </c>
      <c r="X34" t="b">
        <f t="shared" si="0"/>
        <v>0</v>
      </c>
    </row>
    <row r="35" spans="1:24" x14ac:dyDescent="0.4">
      <c r="A35" s="4">
        <v>132210</v>
      </c>
      <c r="B35" s="4">
        <v>6</v>
      </c>
      <c r="C35" s="4">
        <v>5</v>
      </c>
      <c r="D35" s="4">
        <v>4</v>
      </c>
      <c r="E35" s="4">
        <v>5</v>
      </c>
      <c r="F35" s="4">
        <v>4</v>
      </c>
      <c r="G35" s="4">
        <v>4</v>
      </c>
      <c r="H35" s="4">
        <v>5</v>
      </c>
      <c r="I35" s="4">
        <v>3</v>
      </c>
      <c r="J35" s="4">
        <v>4</v>
      </c>
      <c r="K35" s="4">
        <v>58</v>
      </c>
      <c r="L35" s="4">
        <v>5.1377077302515702E-3</v>
      </c>
      <c r="M35" s="4">
        <v>3.8898544612578898E-3</v>
      </c>
      <c r="N35" s="4">
        <v>4.9215375550085696E-3</v>
      </c>
      <c r="O35" s="4">
        <v>4.17060503590582E-3</v>
      </c>
      <c r="P35" s="4">
        <v>3.2054782574254502E-3</v>
      </c>
      <c r="Q35" s="5">
        <v>5.1377077302515702E-3</v>
      </c>
      <c r="R35" s="4">
        <v>1.4514607557750601E-3</v>
      </c>
      <c r="S35" s="4">
        <v>1.3551064706564999E-3</v>
      </c>
      <c r="T35" s="4">
        <v>1.5013099437068899E-3</v>
      </c>
      <c r="U35" s="4">
        <v>9.37886248966735E-4</v>
      </c>
      <c r="V35" s="4">
        <v>1.6790326119463499E-3</v>
      </c>
      <c r="W35" s="5">
        <v>1.6790326119463499E-3</v>
      </c>
      <c r="X35" t="b">
        <f t="shared" si="0"/>
        <v>0</v>
      </c>
    </row>
    <row r="36" spans="1:24" x14ac:dyDescent="0.4">
      <c r="A36" s="4">
        <v>131258</v>
      </c>
      <c r="B36" s="4">
        <v>5</v>
      </c>
      <c r="C36" s="4">
        <v>3</v>
      </c>
      <c r="D36" s="4">
        <v>4</v>
      </c>
      <c r="E36" s="4">
        <v>3</v>
      </c>
      <c r="F36" s="4">
        <v>2</v>
      </c>
      <c r="G36" s="4">
        <v>2</v>
      </c>
      <c r="H36" s="4">
        <v>4</v>
      </c>
      <c r="I36" s="4">
        <v>3</v>
      </c>
      <c r="J36" s="4">
        <v>4</v>
      </c>
      <c r="K36" s="4">
        <v>60</v>
      </c>
      <c r="L36" s="4">
        <v>5.1975438637008597E-4</v>
      </c>
      <c r="M36" s="4">
        <v>1.1654404765770701E-4</v>
      </c>
      <c r="N36" s="4">
        <v>3.7345086687567898E-4</v>
      </c>
      <c r="O36" s="4">
        <v>3.0810562095384599E-4</v>
      </c>
      <c r="P36" s="4">
        <v>1.76174989094279E-4</v>
      </c>
      <c r="Q36" s="5">
        <v>5.1975438637008597E-4</v>
      </c>
      <c r="R36" s="4">
        <v>3.7092686191423298E-3</v>
      </c>
      <c r="S36" s="4">
        <v>3.2950915808199698E-3</v>
      </c>
      <c r="T36" s="4">
        <v>3.4502808842485902E-3</v>
      </c>
      <c r="U36" s="4">
        <v>3.8011480892523502E-3</v>
      </c>
      <c r="V36" s="4">
        <v>3.5181860072727102E-3</v>
      </c>
      <c r="W36" s="5">
        <v>3.8011480892523502E-3</v>
      </c>
      <c r="X36" t="b">
        <f t="shared" si="0"/>
        <v>0</v>
      </c>
    </row>
    <row r="37" spans="1:24" x14ac:dyDescent="0.4">
      <c r="A37" s="4">
        <v>132531</v>
      </c>
      <c r="B37" s="4">
        <v>6</v>
      </c>
      <c r="C37" s="4">
        <v>6</v>
      </c>
      <c r="D37" s="4">
        <v>6</v>
      </c>
      <c r="E37" s="4">
        <v>6</v>
      </c>
      <c r="F37" s="4">
        <v>6</v>
      </c>
      <c r="G37" s="4">
        <v>7</v>
      </c>
      <c r="H37" s="4">
        <v>7</v>
      </c>
      <c r="I37" s="4">
        <v>6</v>
      </c>
      <c r="J37" s="4">
        <v>7</v>
      </c>
      <c r="K37" s="4">
        <v>60</v>
      </c>
      <c r="L37" s="4">
        <v>3.5488457804581002E-3</v>
      </c>
      <c r="M37" s="4">
        <v>3.2673748201821301E-3</v>
      </c>
      <c r="N37" s="4">
        <v>3.1812091835238198E-3</v>
      </c>
      <c r="O37" s="4">
        <v>3.61634199416971E-3</v>
      </c>
      <c r="P37" s="4">
        <v>3.4917131370318902E-3</v>
      </c>
      <c r="Q37" s="5">
        <v>3.61634199416971E-3</v>
      </c>
      <c r="R37" s="4">
        <v>1.7258424451981301E-3</v>
      </c>
      <c r="S37" s="4">
        <v>1.3300876074792099E-3</v>
      </c>
      <c r="T37" s="4">
        <v>2.0702279941516798E-3</v>
      </c>
      <c r="U37" s="4">
        <v>1.81999204374871E-3</v>
      </c>
      <c r="V37" s="4">
        <v>1.8377963981115401E-3</v>
      </c>
      <c r="W37" s="5">
        <v>2.0702279941516798E-3</v>
      </c>
      <c r="X37" t="b">
        <f t="shared" si="0"/>
        <v>0</v>
      </c>
    </row>
    <row r="38" spans="1:24" x14ac:dyDescent="0.4">
      <c r="A38" s="4">
        <v>151743</v>
      </c>
      <c r="B38" s="4">
        <v>7</v>
      </c>
      <c r="C38" s="4">
        <v>7</v>
      </c>
      <c r="D38" s="4">
        <v>7</v>
      </c>
      <c r="E38" s="4">
        <v>7</v>
      </c>
      <c r="F38" s="4">
        <v>7</v>
      </c>
      <c r="G38" s="4">
        <v>4</v>
      </c>
      <c r="H38" s="4">
        <v>7</v>
      </c>
      <c r="I38" s="4">
        <v>7</v>
      </c>
      <c r="J38" s="4">
        <v>7</v>
      </c>
      <c r="K38" s="4">
        <v>61</v>
      </c>
      <c r="L38" s="4">
        <v>1.9544675917205702E-3</v>
      </c>
      <c r="M38" s="4">
        <v>1.7554611483225899E-3</v>
      </c>
      <c r="N38" s="4">
        <v>1.99729060299669E-3</v>
      </c>
      <c r="O38" s="4">
        <v>1.5142340167162401E-3</v>
      </c>
      <c r="P38" s="4">
        <v>1.88097277245236E-3</v>
      </c>
      <c r="Q38" s="5">
        <v>1.99729060299669E-3</v>
      </c>
      <c r="R38" s="4">
        <v>3.0787234556906001E-3</v>
      </c>
      <c r="S38" s="4">
        <v>2.2952183576249101E-3</v>
      </c>
      <c r="T38" s="4">
        <v>3.1745233552187202E-3</v>
      </c>
      <c r="U38" s="4">
        <v>3.1954525974207098E-3</v>
      </c>
      <c r="V38" s="4">
        <v>2.8256484685338298E-3</v>
      </c>
      <c r="W38" s="5">
        <v>3.1954525974207098E-3</v>
      </c>
      <c r="X38" t="b">
        <f t="shared" si="0"/>
        <v>0</v>
      </c>
    </row>
    <row r="39" spans="1:24" x14ac:dyDescent="0.4">
      <c r="A39" s="4">
        <v>152435</v>
      </c>
      <c r="B39" s="4">
        <v>5</v>
      </c>
      <c r="C39" s="4">
        <v>4</v>
      </c>
      <c r="D39" s="4">
        <v>5</v>
      </c>
      <c r="E39" s="4">
        <v>5</v>
      </c>
      <c r="F39" s="4">
        <v>4</v>
      </c>
      <c r="G39" s="4">
        <v>4</v>
      </c>
      <c r="H39" s="4">
        <v>4</v>
      </c>
      <c r="I39" s="4">
        <v>5</v>
      </c>
      <c r="J39" s="4">
        <v>6</v>
      </c>
      <c r="K39" s="4">
        <v>62</v>
      </c>
      <c r="L39" s="4">
        <v>2.6815903223059699E-3</v>
      </c>
      <c r="M39" s="4">
        <v>2.7853517253694201E-3</v>
      </c>
      <c r="N39" s="4">
        <v>2.7279157880410999E-3</v>
      </c>
      <c r="O39" s="4">
        <v>2.7017925849635001E-3</v>
      </c>
      <c r="P39" s="4">
        <v>2.4703414011202299E-3</v>
      </c>
      <c r="Q39" s="5">
        <v>2.7853517253694201E-3</v>
      </c>
      <c r="R39" s="4">
        <v>2.9848191542737302E-3</v>
      </c>
      <c r="S39" s="4">
        <v>2.7348894472946001E-3</v>
      </c>
      <c r="T39" s="4">
        <v>2.9945298732461101E-3</v>
      </c>
      <c r="U39" s="4">
        <v>2.9144693903808598E-3</v>
      </c>
      <c r="V39" s="4">
        <v>2.9704248192581298E-3</v>
      </c>
      <c r="W39" s="5">
        <v>2.9945298732461101E-3</v>
      </c>
      <c r="X39" t="b">
        <f t="shared" si="0"/>
        <v>0</v>
      </c>
    </row>
    <row r="40" spans="1:24" x14ac:dyDescent="0.4">
      <c r="A40" s="4">
        <v>140304</v>
      </c>
      <c r="B40" s="4">
        <v>5</v>
      </c>
      <c r="C40" s="4">
        <v>5</v>
      </c>
      <c r="D40" s="4">
        <v>5</v>
      </c>
      <c r="E40" s="4">
        <v>5</v>
      </c>
      <c r="F40" s="4">
        <v>5</v>
      </c>
      <c r="G40" s="4">
        <v>5</v>
      </c>
      <c r="H40" s="4">
        <v>5</v>
      </c>
      <c r="I40" s="4">
        <v>5</v>
      </c>
      <c r="J40" s="4">
        <v>5</v>
      </c>
      <c r="K40" s="4">
        <v>65</v>
      </c>
      <c r="L40" s="4">
        <v>3.3753463519237102E-3</v>
      </c>
      <c r="M40" s="4">
        <v>3.4690115128344001E-3</v>
      </c>
      <c r="N40" s="4">
        <v>2.84319359818352E-3</v>
      </c>
      <c r="O40" s="4">
        <v>2.6013878612435302E-3</v>
      </c>
      <c r="P40" s="4">
        <v>2.13100219106365E-3</v>
      </c>
      <c r="Q40" s="5">
        <v>3.4690115128344001E-3</v>
      </c>
      <c r="R40" s="4">
        <v>8.6436499678299496E-4</v>
      </c>
      <c r="S40" s="4">
        <v>5.2541089428870204E-4</v>
      </c>
      <c r="T40" s="4">
        <v>5.8932616434303998E-4</v>
      </c>
      <c r="U40" s="4">
        <v>5.8585441533798299E-4</v>
      </c>
      <c r="V40" s="4">
        <v>6.7196186451723395E-4</v>
      </c>
      <c r="W40" s="5">
        <v>8.6436499678299496E-4</v>
      </c>
      <c r="X40" t="b">
        <f t="shared" si="0"/>
        <v>0</v>
      </c>
    </row>
    <row r="41" spans="1:24" x14ac:dyDescent="0.4">
      <c r="A41" s="4">
        <v>161440</v>
      </c>
      <c r="B41" s="4">
        <v>4</v>
      </c>
      <c r="C41" s="4">
        <v>7</v>
      </c>
      <c r="D41" s="4">
        <v>5</v>
      </c>
      <c r="E41" s="4">
        <v>5</v>
      </c>
      <c r="F41" s="4">
        <v>5</v>
      </c>
      <c r="G41" s="4">
        <v>4</v>
      </c>
      <c r="H41" s="4">
        <v>4</v>
      </c>
      <c r="I41" s="4">
        <v>4</v>
      </c>
      <c r="J41" s="4">
        <v>6</v>
      </c>
      <c r="K41" s="4">
        <v>76</v>
      </c>
      <c r="L41" s="4">
        <v>2.6996238695045E-3</v>
      </c>
      <c r="M41" s="4">
        <v>2.2192935571947398E-3</v>
      </c>
      <c r="N41" s="4">
        <v>2.3527571412522699E-3</v>
      </c>
      <c r="O41" s="4">
        <v>2.0811164657784601E-3</v>
      </c>
      <c r="P41" s="4">
        <v>1.8507597924002301E-3</v>
      </c>
      <c r="Q41" s="5">
        <v>2.6996238695045E-3</v>
      </c>
      <c r="R41" s="4">
        <v>2.5645165104958199E-3</v>
      </c>
      <c r="S41" s="4">
        <v>2.4356833077364601E-3</v>
      </c>
      <c r="T41" s="4">
        <v>2.2605416286687299E-3</v>
      </c>
      <c r="U41" s="4">
        <v>2.3997140998723802E-3</v>
      </c>
      <c r="V41" s="4">
        <v>2.5470827354407899E-3</v>
      </c>
      <c r="W41" s="5">
        <v>2.5645165104958199E-3</v>
      </c>
      <c r="X41" t="b">
        <f t="shared" si="0"/>
        <v>0</v>
      </c>
    </row>
    <row r="42" spans="1:24" x14ac:dyDescent="0.4">
      <c r="A42" s="4">
        <v>142337</v>
      </c>
      <c r="B42" s="4">
        <v>7</v>
      </c>
      <c r="C42" s="4">
        <v>7</v>
      </c>
      <c r="D42" s="4">
        <v>7</v>
      </c>
      <c r="E42" s="4">
        <v>7</v>
      </c>
      <c r="F42" s="4">
        <v>5</v>
      </c>
      <c r="G42" s="4">
        <v>6</v>
      </c>
      <c r="H42" s="4">
        <v>5</v>
      </c>
      <c r="I42" s="4">
        <v>7</v>
      </c>
      <c r="J42" s="4">
        <v>7</v>
      </c>
      <c r="K42" s="4">
        <v>79</v>
      </c>
      <c r="L42" s="4">
        <v>2.9634264313590499E-3</v>
      </c>
      <c r="M42" s="4">
        <v>3.5695990771672501E-3</v>
      </c>
      <c r="N42" s="4">
        <v>2.5189653238166798E-3</v>
      </c>
      <c r="O42" s="4">
        <v>1.7304230584710401E-3</v>
      </c>
      <c r="P42" s="4">
        <v>1.7534454459284801E-3</v>
      </c>
      <c r="Q42" s="5">
        <v>3.5695990771672501E-3</v>
      </c>
      <c r="R42" s="4">
        <v>9.7945894998685491E-4</v>
      </c>
      <c r="S42" s="4">
        <v>9.9412397015496892E-4</v>
      </c>
      <c r="T42" s="4">
        <v>9.1055493574132497E-4</v>
      </c>
      <c r="U42" s="4">
        <v>6.2289542859872405E-4</v>
      </c>
      <c r="V42" s="4">
        <v>5.3712386408755197E-4</v>
      </c>
      <c r="W42" s="5">
        <v>9.9412397015496892E-4</v>
      </c>
      <c r="X42" t="b">
        <f t="shared" si="0"/>
        <v>0</v>
      </c>
    </row>
    <row r="43" spans="1:24" x14ac:dyDescent="0.4">
      <c r="A43" s="4">
        <v>143127</v>
      </c>
      <c r="B43" s="4">
        <v>6</v>
      </c>
      <c r="C43" s="4">
        <v>3</v>
      </c>
      <c r="D43" s="4">
        <v>4</v>
      </c>
      <c r="E43" s="4">
        <v>4</v>
      </c>
      <c r="F43" s="4">
        <v>5</v>
      </c>
      <c r="G43" s="4">
        <v>5</v>
      </c>
      <c r="H43" s="4">
        <v>5</v>
      </c>
      <c r="I43" s="4">
        <v>3</v>
      </c>
      <c r="J43" s="4">
        <v>4</v>
      </c>
      <c r="K43" s="4">
        <v>83</v>
      </c>
      <c r="L43" s="4">
        <v>2.83798690474246E-3</v>
      </c>
      <c r="M43" s="4">
        <v>3.05195496472598E-3</v>
      </c>
      <c r="N43" s="4">
        <v>2.6914057623534898E-3</v>
      </c>
      <c r="O43" s="4">
        <v>2.8544552094486001E-3</v>
      </c>
      <c r="P43" s="4">
        <v>3.0168828725282101E-3</v>
      </c>
      <c r="Q43" s="5">
        <v>3.05195496472598E-3</v>
      </c>
      <c r="R43" s="4">
        <v>2.1076838047764299E-3</v>
      </c>
      <c r="S43" s="4">
        <v>1.67346445079363E-3</v>
      </c>
      <c r="T43" s="4">
        <v>2.0667011122058598E-3</v>
      </c>
      <c r="U43" s="4">
        <v>2.1342482398138901E-3</v>
      </c>
      <c r="V43" s="4">
        <v>2.0110885337550899E-3</v>
      </c>
      <c r="W43" s="5">
        <v>2.1342482398138901E-3</v>
      </c>
      <c r="X43" t="b">
        <f t="shared" si="0"/>
        <v>0</v>
      </c>
    </row>
    <row r="44" spans="1:24" x14ac:dyDescent="0.4">
      <c r="A44">
        <v>104304</v>
      </c>
      <c r="B44">
        <v>7</v>
      </c>
      <c r="C44">
        <v>6</v>
      </c>
      <c r="D44">
        <v>6</v>
      </c>
      <c r="E44">
        <v>7</v>
      </c>
      <c r="F44">
        <v>6</v>
      </c>
      <c r="G44">
        <v>4</v>
      </c>
      <c r="H44">
        <v>5</v>
      </c>
      <c r="I44">
        <v>4</v>
      </c>
      <c r="J44">
        <v>7</v>
      </c>
      <c r="K44">
        <v>40</v>
      </c>
    </row>
    <row r="45" spans="1:24" x14ac:dyDescent="0.4">
      <c r="A45">
        <v>110401</v>
      </c>
      <c r="B45">
        <v>6</v>
      </c>
      <c r="C45">
        <v>6</v>
      </c>
      <c r="D45">
        <v>4</v>
      </c>
      <c r="E45">
        <v>4</v>
      </c>
      <c r="F45">
        <v>4</v>
      </c>
      <c r="G45">
        <v>5</v>
      </c>
      <c r="H45">
        <v>5</v>
      </c>
      <c r="I45">
        <v>4</v>
      </c>
      <c r="J45">
        <v>6</v>
      </c>
      <c r="K45">
        <v>50</v>
      </c>
      <c r="L45">
        <v>4.1719781758501303E-3</v>
      </c>
      <c r="M45">
        <v>3.11870134910463E-3</v>
      </c>
      <c r="N45">
        <v>2.8985211410041899E-3</v>
      </c>
      <c r="O45">
        <v>2.58053504052746E-3</v>
      </c>
      <c r="P45">
        <v>2.78180502465685E-3</v>
      </c>
      <c r="Q45">
        <v>4.1719781758501303E-3</v>
      </c>
      <c r="R45">
        <v>2.9738641796495102E-4</v>
      </c>
      <c r="S45">
        <v>2.1142577642696499E-4</v>
      </c>
      <c r="T45">
        <v>1.3336691405119099E-4</v>
      </c>
      <c r="U45">
        <v>-6.5337086151440096E-4</v>
      </c>
      <c r="V45">
        <v>-2.7565614104285702E-4</v>
      </c>
      <c r="W45">
        <v>2.9738641796495102E-4</v>
      </c>
    </row>
    <row r="46" spans="1:24" x14ac:dyDescent="0.4">
      <c r="A46">
        <v>142150</v>
      </c>
      <c r="B46">
        <v>6</v>
      </c>
      <c r="C46">
        <v>6</v>
      </c>
      <c r="D46">
        <v>6</v>
      </c>
      <c r="E46">
        <v>5</v>
      </c>
      <c r="F46">
        <v>6</v>
      </c>
      <c r="G46">
        <v>6</v>
      </c>
      <c r="H46">
        <v>7</v>
      </c>
      <c r="I46">
        <v>6</v>
      </c>
      <c r="J46">
        <v>7</v>
      </c>
      <c r="K46">
        <v>51</v>
      </c>
      <c r="L46">
        <v>2.59273888177535E-3</v>
      </c>
      <c r="M46">
        <v>2.5785394907444901E-3</v>
      </c>
      <c r="N46">
        <v>2.0071086086841301E-3</v>
      </c>
      <c r="O46">
        <v>2.2709233005472301E-3</v>
      </c>
      <c r="P46">
        <v>2.2462966152972902E-3</v>
      </c>
      <c r="Q46">
        <v>2.59273888177535E-3</v>
      </c>
      <c r="R46" s="1">
        <v>-6.6772002644710504E-5</v>
      </c>
      <c r="S46">
        <v>1.3235664673138999E-4</v>
      </c>
      <c r="T46" s="1">
        <v>-9.8377545355798901E-5</v>
      </c>
      <c r="U46">
        <v>-2.6988912308389902E-4</v>
      </c>
      <c r="V46">
        <v>-2.8567196653672602E-4</v>
      </c>
      <c r="W46">
        <v>1.3235664673138999E-4</v>
      </c>
    </row>
    <row r="47" spans="1:24" x14ac:dyDescent="0.4">
      <c r="A47">
        <v>150943</v>
      </c>
      <c r="B47">
        <v>7</v>
      </c>
      <c r="C47">
        <v>5</v>
      </c>
      <c r="D47">
        <v>3</v>
      </c>
      <c r="E47">
        <v>3</v>
      </c>
      <c r="F47">
        <v>4</v>
      </c>
      <c r="G47">
        <v>5</v>
      </c>
      <c r="H47">
        <v>4</v>
      </c>
      <c r="I47">
        <v>4</v>
      </c>
      <c r="J47">
        <v>4</v>
      </c>
      <c r="K47">
        <v>52</v>
      </c>
      <c r="L47">
        <v>3.4428685088402299E-3</v>
      </c>
      <c r="M47">
        <v>3.1109508335518399E-3</v>
      </c>
      <c r="N47">
        <v>3.0786447683210901E-3</v>
      </c>
      <c r="O47">
        <v>2.7172201408352998E-3</v>
      </c>
      <c r="P47">
        <v>2.28770799210298E-3</v>
      </c>
      <c r="Q47">
        <v>3.4428685088402299E-3</v>
      </c>
      <c r="R47" s="1">
        <v>-2.74345765608474E-5</v>
      </c>
      <c r="S47" s="1">
        <v>-8.8071855256721595E-5</v>
      </c>
      <c r="T47">
        <v>-1.51460446721207E-4</v>
      </c>
      <c r="U47">
        <v>-4.49767260627509E-4</v>
      </c>
      <c r="V47" s="1">
        <v>-8.0320672009581706E-5</v>
      </c>
      <c r="W47" s="1">
        <v>-2.74345765608474E-5</v>
      </c>
    </row>
    <row r="48" spans="1:24" x14ac:dyDescent="0.4">
      <c r="A48">
        <v>140959</v>
      </c>
      <c r="B48">
        <v>6</v>
      </c>
      <c r="C48">
        <v>5</v>
      </c>
      <c r="D48">
        <v>5</v>
      </c>
      <c r="E48">
        <v>4</v>
      </c>
      <c r="F48">
        <v>6</v>
      </c>
      <c r="G48">
        <v>5</v>
      </c>
      <c r="H48">
        <v>5</v>
      </c>
      <c r="I48">
        <v>4</v>
      </c>
      <c r="J48">
        <v>3</v>
      </c>
      <c r="K48">
        <v>47</v>
      </c>
    </row>
    <row r="49" spans="1:23" x14ac:dyDescent="0.4">
      <c r="A49">
        <v>145231</v>
      </c>
      <c r="B49">
        <v>3</v>
      </c>
      <c r="C49">
        <v>4</v>
      </c>
      <c r="D49">
        <v>3</v>
      </c>
      <c r="E49">
        <v>3</v>
      </c>
      <c r="F49">
        <v>2</v>
      </c>
      <c r="G49">
        <v>4</v>
      </c>
      <c r="H49">
        <v>4</v>
      </c>
      <c r="I49">
        <v>3</v>
      </c>
      <c r="J49">
        <v>6</v>
      </c>
      <c r="K49">
        <v>62</v>
      </c>
    </row>
    <row r="50" spans="1:23" x14ac:dyDescent="0.4">
      <c r="A50">
        <v>151633</v>
      </c>
      <c r="B50">
        <v>5</v>
      </c>
      <c r="C50">
        <v>5</v>
      </c>
      <c r="D50">
        <v>5</v>
      </c>
      <c r="E50">
        <v>6</v>
      </c>
      <c r="F50">
        <v>6</v>
      </c>
      <c r="G50">
        <v>4</v>
      </c>
      <c r="H50">
        <v>5</v>
      </c>
      <c r="I50">
        <v>5</v>
      </c>
      <c r="J50">
        <v>5</v>
      </c>
      <c r="K50">
        <v>58</v>
      </c>
      <c r="L50" s="1">
        <v>4.97321480199541E-5</v>
      </c>
      <c r="M50">
        <v>3.8751995500696502E-4</v>
      </c>
      <c r="N50">
        <v>1.6109369558026099E-4</v>
      </c>
      <c r="O50" s="1">
        <v>-8.94107643019115E-5</v>
      </c>
      <c r="P50" s="1">
        <v>-8.9882838031129996E-5</v>
      </c>
      <c r="Q50">
        <v>3.8751995500696502E-4</v>
      </c>
      <c r="R50">
        <v>3.0115846136109501E-3</v>
      </c>
      <c r="S50">
        <v>2.6893320830462201E-3</v>
      </c>
      <c r="T50">
        <v>2.3838917513451202E-3</v>
      </c>
      <c r="U50">
        <v>2.4793062877200801E-3</v>
      </c>
      <c r="V50">
        <v>2.6446942695209602E-3</v>
      </c>
      <c r="W50">
        <v>3.0115846136109501E-3</v>
      </c>
    </row>
    <row r="51" spans="1:23" x14ac:dyDescent="0.4">
      <c r="A51">
        <v>152752</v>
      </c>
      <c r="B51">
        <v>6</v>
      </c>
      <c r="C51">
        <v>6</v>
      </c>
      <c r="D51">
        <v>6</v>
      </c>
      <c r="E51">
        <v>5</v>
      </c>
      <c r="F51">
        <v>5</v>
      </c>
      <c r="G51">
        <v>6</v>
      </c>
      <c r="H51">
        <v>6</v>
      </c>
      <c r="I51">
        <v>6</v>
      </c>
      <c r="J51">
        <v>6</v>
      </c>
      <c r="K51">
        <v>38</v>
      </c>
    </row>
  </sheetData>
  <phoneticPr fontId="18"/>
  <conditionalFormatting sqref="L1:W51">
    <cfRule type="cellIs" dxfId="1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datak=100,l=100,t=2,maxdelay=30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 Moe</cp:lastModifiedBy>
  <dcterms:created xsi:type="dcterms:W3CDTF">2025-11-11T12:03:05Z</dcterms:created>
  <dcterms:modified xsi:type="dcterms:W3CDTF">2025-11-11T12:25:45Z</dcterms:modified>
</cp:coreProperties>
</file>